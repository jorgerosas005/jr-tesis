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/>
  <mc:AlternateContent xmlns:mc="http://schemas.openxmlformats.org/markup-compatibility/2006">
    <mc:Choice Requires="x15">
      <x15ac:absPath xmlns:x15ac="http://schemas.microsoft.com/office/spreadsheetml/2010/11/ac" url="https://d.docs.live.net/ff62e7abab5a1e07/Facultad de Química/Titulación/jr-tesis/"/>
    </mc:Choice>
  </mc:AlternateContent>
  <xr:revisionPtr revIDLastSave="1052" documentId="8_{E33501D9-86D2-43E6-AD17-6A1492C263AF}" xr6:coauthVersionLast="47" xr6:coauthVersionMax="47" xr10:uidLastSave="{37A2FE6B-B9BA-4415-A5C7-543188CC3141}"/>
  <bookViews>
    <workbookView xWindow="-110" yWindow="-110" windowWidth="19420" windowHeight="12220" firstSheet="4" xr2:uid="{F197E1E3-6026-4ADE-B6DB-F8AFBB1F36F8}"/>
  </bookViews>
  <sheets>
    <sheet name="Hoja1" sheetId="1" r:id="rId1"/>
    <sheet name="Hoja2" sheetId="2" r:id="rId2"/>
    <sheet name="Hoja3" sheetId="3" r:id="rId3"/>
    <sheet name="Hoja4" sheetId="4" r:id="rId4"/>
    <sheet name="Hoja5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" i="2" l="1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3" i="2"/>
  <c r="D13" i="2"/>
  <c r="C13" i="2"/>
  <c r="C10" i="2"/>
  <c r="C8" i="2"/>
  <c r="C6" i="2"/>
  <c r="C4" i="2"/>
  <c r="C3" i="2"/>
  <c r="C2" i="2"/>
</calcChain>
</file>

<file path=xl/sharedStrings.xml><?xml version="1.0" encoding="utf-8"?>
<sst xmlns="http://schemas.openxmlformats.org/spreadsheetml/2006/main" count="643" uniqueCount="416">
  <si>
    <t>Metanol Teróricos</t>
  </si>
  <si>
    <t>Metanol Experimentales</t>
  </si>
  <si>
    <t>Ref.</t>
  </si>
  <si>
    <t>Técnica</t>
  </si>
  <si>
    <t xml:space="preserve">NC </t>
  </si>
  <si>
    <t>Cu-O$*{eq}$ (Å)</t>
  </si>
  <si>
    <t>Cu-O$*{ax}$ (Å)</t>
  </si>
  <si>
    <t>Geometría</t>
  </si>
  <si>
    <t>Cu-O$*{eq}_2$ (Å)</t>
  </si>
  <si>
    <t>Cu-O$*{ax}_1$ (Å)</t>
  </si>
  <si>
    <t>Cu-O$*{ax}_2$ (Å)</t>
  </si>
  <si>
    <t>\cite{Me-2022-01}</t>
  </si>
  <si>
    <t>MP2 (fase gas)
n = 8</t>
  </si>
  <si>
    <t>\cite{Me-1980-01}</t>
  </si>
  <si>
    <t>Análisis de eco de 
espín electrónico</t>
  </si>
  <si>
    <t>octaédrica</t>
  </si>
  <si>
    <t>\cite{Me-1986-01}</t>
  </si>
  <si>
    <t>Oxygen-17 NMR</t>
  </si>
  <si>
    <t>\cite{Me-1999-01}</t>
  </si>
  <si>
    <t>EXAFS</t>
  </si>
  <si>
    <t>1.97 ± 0.01</t>
  </si>
  <si>
    <t>\cite{Me-2023-01}</t>
  </si>
  <si>
    <t>M06-2X (fase gas)
n = 8</t>
  </si>
  <si>
    <t>\cite{Me-2012-01}</t>
  </si>
  <si>
    <t>1.96 ± 0.01</t>
  </si>
  <si>
    <t>2.28 ± 0.02</t>
  </si>
  <si>
    <t>2.32 ± 0.02</t>
  </si>
  <si>
    <t>XANES</t>
  </si>
  <si>
    <t>tetraédrica</t>
  </si>
  <si>
    <t>1.99 ± 0.02</t>
  </si>
  <si>
    <t>\cite{Me-2023-02}</t>
  </si>
  <si>
    <t>M06-2X + IEF-PCM
n = 8</t>
  </si>
  <si>
    <t>cuadrangular
 plana</t>
  </si>
  <si>
    <t>2.00 ± 0.02</t>
  </si>
  <si>
    <t>1.95 ± 0.02</t>
  </si>
  <si>
    <t>2.01 ± 0.02</t>
  </si>
  <si>
    <t>2.23 ± 0.05</t>
  </si>
  <si>
    <t>2.23 ± 0.04</t>
  </si>
  <si>
    <t>\cite{Me-2025-01}</t>
  </si>
  <si>
    <t>M06-2X (fase gas)
n = 10</t>
  </si>
  <si>
    <t>\cite{Wa-2020-01}</t>
  </si>
  <si>
    <t>octaédrica
 distorsionada</t>
  </si>
  <si>
    <t>1.975 ± 0.003</t>
  </si>
  <si>
    <t>2.202 ± 0.008</t>
  </si>
  <si>
    <t>2.34 ± 0.01</t>
  </si>
  <si>
    <t>M06-2X + IEF-PCM
n = 10</t>
  </si>
  <si>
    <t>12 referencias experimentales</t>
  </si>
  <si>
    <t>16 referencias teóricas</t>
  </si>
  <si>
    <t xml:space="preserve">Correcciones </t>
  </si>
  <si>
    <t>Segndo capítulo</t>
  </si>
  <si>
    <t xml:space="preserve">Tercer capítulo </t>
  </si>
  <si>
    <t xml:space="preserve">Resultados </t>
  </si>
  <si>
    <t>Experimetnales e híbridos</t>
  </si>
  <si>
    <t>Fase</t>
  </si>
  <si>
    <t>Octaédrica
 distorsionada</t>
  </si>
  <si>
    <t>1.957 ± 0.003</t>
  </si>
  <si>
    <t>2.14 ± 0.02</t>
  </si>
  <si>
    <t>\cite{Wa-2018-02}</t>
  </si>
  <si>
    <t>Vidrios acuosos congelados
 (con 2 agente vitrificantes)</t>
  </si>
  <si>
    <t>Asimétrica axial</t>
  </si>
  <si>
    <t>2.22
2.24</t>
  </si>
  <si>
    <t>2.37
2.38</t>
  </si>
  <si>
    <t>MXAN</t>
  </si>
  <si>
    <t>Pirámide cuadrada</t>
  </si>
  <si>
    <t>1.95 ± 0.01
1.95 ± 0.01</t>
  </si>
  <si>
    <t>2.23 ± 0.08
2.24 ± 0.06</t>
  </si>
  <si>
    <t>1.95 ± 0.01
1.94 ± 0.01</t>
  </si>
  <si>
    <t>1.93 ± 0.03
2.14 ± 0.11</t>
  </si>
  <si>
    <t>2.22 ± 0.04
2.28 ± 0.10</t>
  </si>
  <si>
    <t>\cite{Wa-2015-01}</t>
  </si>
  <si>
    <t>Solución acuosa</t>
  </si>
  <si>
    <t>2.23 ± 0.11</t>
  </si>
  <si>
    <t>5 + 1</t>
  </si>
  <si>
    <t>1.94 ± 0.02</t>
  </si>
  <si>
    <t>2.06 ± 0.07</t>
  </si>
  <si>
    <t>2.99 ± 0.22</t>
  </si>
  <si>
    <t>Solución congelada</t>
  </si>
  <si>
    <t>1.97 ± 0.02</t>
  </si>
  <si>
    <t>2.44 ± 0.13</t>
  </si>
  <si>
    <t>3.0 ± 0.1</t>
  </si>
  <si>
    <t>\cite{Wa-2013-01}</t>
  </si>
  <si>
    <t>Dispersión de neutrones
Dispersión de rayos X
EXAFS
EPSR</t>
  </si>
  <si>
    <t>Solución acuosa
Dos soluciones</t>
  </si>
  <si>
    <t>4.1 ± 0.3
4.5 ± 0.6</t>
  </si>
  <si>
    <t>Tetraédrica
Trigonal bipiramidal
Octaédrica distorsionada</t>
  </si>
  <si>
    <t>\cite{Wa-2009-02}</t>
  </si>
  <si>
    <t>Análisis estructural por rayos X</t>
  </si>
  <si>
    <t>2.10 - 2.30</t>
  </si>
  <si>
    <t>\cite{Wa-2005-01}</t>
  </si>
  <si>
    <t>MXAN / XAS
DFT / B(38HF)P86</t>
  </si>
  <si>
    <t>Distorsión D_{2d}</t>
  </si>
  <si>
    <t>1.96 ± 0.02</t>
  </si>
  <si>
    <t>Pirámide cuadrada C_{2v}</t>
  </si>
  <si>
    <t>1.98 ± 0.03</t>
  </si>
  <si>
    <t>1.95 ± 0.03</t>
  </si>
  <si>
    <t>2.35 ± 0.05</t>
  </si>
  <si>
    <t>\cite{Wa-2002-01}</t>
  </si>
  <si>
    <t>XANES / MXAN /XAS</t>
  </si>
  <si>
    <t>2.39 ± 0.06</t>
  </si>
  <si>
    <t>\cite{Wa-2001-01}</t>
  </si>
  <si>
    <t>Difracción de neutrones
CPMD /  BYLP</t>
  </si>
  <si>
    <t>Pirámide cuadrada
Bipirámide trigonal</t>
  </si>
  <si>
    <t>\cite{Wa-1987-01}</t>
  </si>
  <si>
    <t>Difracción de neutrones</t>
  </si>
  <si>
    <t>1.96 ± 0.03</t>
  </si>
  <si>
    <t>\cite{Wa-1981-01}</t>
  </si>
  <si>
    <t>1.955 ± 0.03</t>
  </si>
  <si>
    <t>2.60 ± 0.05</t>
  </si>
  <si>
    <t>\cite{Wa-1982-01}</t>
  </si>
  <si>
    <t>2 + 4</t>
  </si>
  <si>
    <t>-</t>
  </si>
  <si>
    <t>2.05</t>
  </si>
  <si>
    <t>Cu-2002-01</t>
  </si>
  <si>
    <t>Cu-2004-01</t>
  </si>
  <si>
    <t>Cu-2011-01</t>
  </si>
  <si>
    <t>Cu-2013-01</t>
  </si>
  <si>
    <t>Lee el siguiente documento con detenimiento, extrae la siguiente infomración:</t>
  </si>
  <si>
    <t>Cu-2014-01</t>
  </si>
  <si>
    <t>Tipo de estudio: teórico o experimental</t>
  </si>
  <si>
    <t>Cu-2015-01</t>
  </si>
  <si>
    <t>Resumen de la metodología</t>
  </si>
  <si>
    <t>Cu-2019-01</t>
  </si>
  <si>
    <t>Técnica utilizada</t>
  </si>
  <si>
    <t>Me-1986-01</t>
  </si>
  <si>
    <t>Fase estudiada</t>
  </si>
  <si>
    <t>Me-1999-01</t>
  </si>
  <si>
    <t>Número de coordinación</t>
  </si>
  <si>
    <t>Wa-1981-01</t>
  </si>
  <si>
    <t>Wa-1982-01</t>
  </si>
  <si>
    <t>Distancias axiales</t>
  </si>
  <si>
    <t>Wa-1987-01</t>
  </si>
  <si>
    <t>Distancias ecuatoriales</t>
  </si>
  <si>
    <t>Wa-1988-01</t>
  </si>
  <si>
    <t>Wa-1999-01</t>
  </si>
  <si>
    <t>Wa-2001-01</t>
  </si>
  <si>
    <t>Wa-2002-01</t>
  </si>
  <si>
    <t>Wa-2003-01</t>
  </si>
  <si>
    <t>Wa-2004-02</t>
  </si>
  <si>
    <t>Wa-2005-01</t>
  </si>
  <si>
    <t>Wa-2015-01</t>
  </si>
  <si>
    <t>Wa-2016-01</t>
  </si>
  <si>
    <t>Wa-2017-01</t>
  </si>
  <si>
    <t>Wa-2018-01</t>
  </si>
  <si>
    <t>Wa-2018-02</t>
  </si>
  <si>
    <t>Wa-2019-01</t>
  </si>
  <si>
    <t>Wa-2020-01</t>
  </si>
  <si>
    <t>Wa-2023-01</t>
  </si>
  <si>
    <t>Wa-2024-01</t>
  </si>
  <si>
    <t>Wa-2024-03</t>
  </si>
  <si>
    <t>Funcional &amp; Base</t>
  </si>
  <si>
    <t>Potencial cobre</t>
  </si>
  <si>
    <t>Nota 1</t>
  </si>
  <si>
    <t>Todas las distancias son resultados de cálculos de optimización</t>
  </si>
  <si>
    <t>\cite{Wa-2004-01}</t>
  </si>
  <si>
    <t>Optimización / DFT</t>
  </si>
  <si>
    <t>B3LYP / 6-311++G(2df,2pd)
B3PW91 / 6-31+G(d)</t>
  </si>
  <si>
    <t>AREP</t>
  </si>
  <si>
    <t xml:space="preserve">Gaseosa? </t>
  </si>
  <si>
    <t>Cuadrangular plana</t>
  </si>
  <si>
    <t>Piramide cuadrada</t>
  </si>
  <si>
    <t>1.974 - 2.008</t>
  </si>
  <si>
    <t>Octaedro distorsionado</t>
  </si>
  <si>
    <t>2.003
2.026</t>
  </si>
  <si>
    <t>\cite{Wa-2005-03}</t>
  </si>
  <si>
    <t>\cite{Wa-2007-02}</t>
  </si>
  <si>
    <t xml:space="preserve">B3LYP / 6-31G(d) / 6-311G** </t>
  </si>
  <si>
    <t>1.975
1.995</t>
  </si>
  <si>
    <t>Bipirámide trigonal</t>
  </si>
  <si>
    <t>1.971
2.078</t>
  </si>
  <si>
    <t>1.97
2.05</t>
  </si>
  <si>
    <t>2.30</t>
  </si>
  <si>
    <t>\cite{Wa-2007-03}</t>
  </si>
  <si>
    <t>Optimización / HF / DFT</t>
  </si>
  <si>
    <t>6-31G(d,p)
MP2/6-31G(d,p)
B3LYP/6-31G(d,p)</t>
  </si>
  <si>
    <t>Tetraédrica</t>
  </si>
  <si>
    <t>1.99</t>
  </si>
  <si>
    <t>2.02
2.04</t>
  </si>
  <si>
    <t>2.15</t>
  </si>
  <si>
    <t>2.06</t>
  </si>
  <si>
    <t>2.24</t>
  </si>
  <si>
    <t>\cite{Wa-2008-01}</t>
  </si>
  <si>
    <t>Optimización / DFT / COSMO</t>
  </si>
  <si>
    <t>B3LYP / 6-311G++(d,p)</t>
  </si>
  <si>
    <t xml:space="preserve">ECP LACV3P+ </t>
  </si>
  <si>
    <t>Gaseosa?
Acuosa</t>
  </si>
  <si>
    <t>1976
-</t>
  </si>
  <si>
    <t>Nota 2</t>
  </si>
  <si>
    <t>Valor de arrbia fase gaseosa ? y acusoa abajo</t>
  </si>
  <si>
    <t>2.011
1.994</t>
  </si>
  <si>
    <t>2.181
2.171</t>
  </si>
  <si>
    <t>2.033
2.020</t>
  </si>
  <si>
    <t>2.225
2.247</t>
  </si>
  <si>
    <t>2.255
2.250</t>
  </si>
  <si>
    <t>\cite{Wa-2008-02}</t>
  </si>
  <si>
    <t>IRPD y BIRD
DFT</t>
  </si>
  <si>
    <t>B3LYP / LACV3P**++</t>
  </si>
  <si>
    <t>Octaédro</t>
  </si>
  <si>
    <t>\cite{Wa-2009-01}</t>
  </si>
  <si>
    <t>Optimización / DFT
COSMO</t>
  </si>
  <si>
    <t>B3LYP / 6-311++G(d,p)</t>
  </si>
  <si>
    <t>(ECP) LACV3P+</t>
  </si>
  <si>
    <t>Acuoso</t>
  </si>
  <si>
    <t>\cite{Wa-2010-02}</t>
  </si>
  <si>
    <t>BLYP (0%), B3LYP (20%), MPWB1K (44%) y BHLYP (50%) / 
6-31++G(d,p)</t>
  </si>
  <si>
    <t xml:space="preserve">Nota </t>
  </si>
  <si>
    <t>Nota</t>
  </si>
  <si>
    <t>conjunto de bases de Wachters extendido para Cu</t>
  </si>
  <si>
    <t>pseudopotenciales de Martins-Trouillier</t>
  </si>
  <si>
    <t>\cite{Wa-2012-01}</t>
  </si>
  <si>
    <t>espectroscopía de absorción óptica experimental</t>
  </si>
  <si>
    <t>Solución acuosa
Cristales
Vidrio</t>
  </si>
  <si>
    <t>\cite{Wa-2017-01}</t>
  </si>
  <si>
    <t>Optimización / DFT / MP2</t>
  </si>
  <si>
    <t>(PBE, RevTPSS, TPSSh, B3LYP, BHLYP) / def-SVP
CPCM y SMD</t>
  </si>
  <si>
    <t>\cite{Wa-2018-01}</t>
  </si>
  <si>
    <t>PBE0-D3, M06-2X y BHLYP / 6-311++G**</t>
  </si>
  <si>
    <t>\cite{Wa-2023-01}</t>
  </si>
  <si>
    <t>MPW1K / cc-pVTZ</t>
  </si>
  <si>
    <t>\cite{Wa-2024-03}</t>
  </si>
  <si>
    <t>MP2 / 6-31++G(d,p)</t>
  </si>
  <si>
    <t>\cite{Wa-1999-01}</t>
  </si>
  <si>
    <t xml:space="preserve">CPMD
Optimización / DFT </t>
  </si>
  <si>
    <t xml:space="preserve"> LDA / Becke y Perdew
Base DZ y TZ</t>
  </si>
  <si>
    <t>Gaseosa?</t>
  </si>
  <si>
    <t>Cuadrangular plana
y tetraédrica distorsionada</t>
  </si>
  <si>
    <t>1.967 - 2.011</t>
  </si>
  <si>
    <t>Piramide tetragonal</t>
  </si>
  <si>
    <t>1.982 - 2.053</t>
  </si>
  <si>
    <t>2.250 - 2.370</t>
  </si>
  <si>
    <t>2.019 - 2.037</t>
  </si>
  <si>
    <t>2.342
2.398</t>
  </si>
  <si>
    <t>\cite{Wa-2010-03}</t>
  </si>
  <si>
    <t xml:space="preserve">CPMD/ DFT </t>
  </si>
  <si>
    <t>BLYP, PBE</t>
  </si>
  <si>
    <t>1.93 - 2.06</t>
  </si>
  <si>
    <t>2.03 - 2.09</t>
  </si>
  <si>
    <t>2.31</t>
  </si>
  <si>
    <t>2.04 - 2.14</t>
  </si>
  <si>
    <t>1.95
2.14</t>
  </si>
  <si>
    <t>1.97 - 2.09</t>
  </si>
  <si>
    <t>2.46
2.58</t>
  </si>
  <si>
    <t>Difracción de neutrones
CPMD</t>
  </si>
  <si>
    <t>BLYP
funcional polarizado en espín</t>
  </si>
  <si>
    <t>ultrasoft pseudopotentials</t>
  </si>
  <si>
    <t>Acuosa</t>
  </si>
  <si>
    <t>pirámide cuadrada / 
 bipirámide trigonal</t>
  </si>
  <si>
    <t>1.96</t>
  </si>
  <si>
    <t>\cite{Wa-2003-01}</t>
  </si>
  <si>
    <t>QM/MM MD</t>
  </si>
  <si>
    <t>HF, B3LYP, y RIDFT</t>
  </si>
  <si>
    <t>LANL2DZ (para HF y B3LYP) y SVP (para RIDFT)</t>
  </si>
  <si>
    <t>Octaédrica distorsionada</t>
  </si>
  <si>
    <t>2.02 (HF)
2.03 (B3LYP)
1.99 (RIDFT)</t>
  </si>
  <si>
    <t>2.15 / 2.30 (HF)
2.29 (B3LYP)
2.30 (RIDFT)</t>
  </si>
  <si>
    <t>\cite{Wa-2004-02}</t>
  </si>
  <si>
    <t>CPMD /DFT</t>
  </si>
  <si>
    <t>BLYP</t>
  </si>
  <si>
    <t>norm conserving pseudopotentials</t>
  </si>
  <si>
    <t>5.7</t>
  </si>
  <si>
    <t>octaedro distorsionado tetragonalmente, pirámide cuadrada y bipirámide trigonal.</t>
  </si>
  <si>
    <t>2.0</t>
  </si>
  <si>
    <t>***</t>
  </si>
  <si>
    <t>\cite{Wa-2005-02}</t>
  </si>
  <si>
    <t>BLYP y LSDA</t>
  </si>
  <si>
    <t>ultra-blandos (Vanderbilt)
corrección no lineal del núcleo (NLCC)</t>
  </si>
  <si>
    <t>pirámide cuadrada distorsionada y bipirámide trigonal</t>
  </si>
  <si>
    <t>2.45</t>
  </si>
  <si>
    <t>\cite{Wa-2013-02}</t>
  </si>
  <si>
    <t xml:space="preserve">HF </t>
  </si>
  <si>
    <t xml:space="preserve"> LANL2DZ  (ECP)</t>
  </si>
  <si>
    <t>octaedro distorsionado</t>
  </si>
  <si>
    <t>2.21</t>
  </si>
  <si>
    <t>\cite{Wa-2016-01}</t>
  </si>
  <si>
    <t xml:space="preserve"> DFTB3 / VALBOND</t>
  </si>
  <si>
    <t>2.35</t>
  </si>
  <si>
    <t>Archivo</t>
  </si>
  <si>
    <t>Autor</t>
  </si>
  <si>
    <t>Año</t>
  </si>
  <si>
    <t>Estudia la solvatación del cobre</t>
  </si>
  <si>
    <t>Solventes estudiados</t>
  </si>
  <si>
    <t>Tipo de estudio</t>
  </si>
  <si>
    <t>Fase de estudio</t>
  </si>
  <si>
    <t>Reporta número de coordinación</t>
  </si>
  <si>
    <t>Reporta distancias de enlace</t>
  </si>
  <si>
    <t>Me-1982-01.pdf</t>
  </si>
  <si>
    <t>Ichikawa y Kevan</t>
  </si>
  <si>
    <t>Sí</t>
  </si>
  <si>
    <t>Otros solventes (etanol)</t>
  </si>
  <si>
    <t>Experimental (análisis de modulación de espín-eco electrónico)</t>
  </si>
  <si>
    <t>Líquida/Sólida (vidrios de etanol congelados)</t>
  </si>
  <si>
    <t>Sí, reporta distancias de Cu2+ a O, H y C del etanol</t>
  </si>
  <si>
    <t>Wa-1988-01.pdf</t>
  </si>
  <si>
    <t>Salmon et al.</t>
  </si>
  <si>
    <t>Agua</t>
  </si>
  <si>
    <t>Experimental (difracción de neutrones)</t>
  </si>
  <si>
    <t>Líquida/Solución</t>
  </si>
  <si>
    <t>Cu-2002-01.pdf</t>
  </si>
  <si>
    <t>Funahashi et al.</t>
  </si>
  <si>
    <t>Agua, metanol y otros solventes</t>
  </si>
  <si>
    <t>Revisión</t>
  </si>
  <si>
    <t>Wa-2003-01.pdf</t>
  </si>
  <si>
    <t>Schwenk y Rode</t>
  </si>
  <si>
    <t>Teórico (simulaciones QM/MM MD)</t>
  </si>
  <si>
    <t>Sí, reporta distancias Cu-O</t>
  </si>
  <si>
    <t>Cu-2004-01.pdf</t>
  </si>
  <si>
    <t>Sí, reporta las distancias Cu-O</t>
  </si>
  <si>
    <t>Wa-2004-02.pdf</t>
  </si>
  <si>
    <t>Blumberger et al.</t>
  </si>
  <si>
    <t>Teórico (Car-Parrinello MD)</t>
  </si>
  <si>
    <t>Solución acuosa (líquida)</t>
  </si>
  <si>
    <t>Sí, fluctúa entre 5-6 para Cu2+ y es 2 para Cu+</t>
  </si>
  <si>
    <t>Sí, 2.0 Å para Cu2+ y 1.8 Å para Cu+</t>
  </si>
  <si>
    <t>Wa-2005-02.pdf</t>
  </si>
  <si>
    <t>Amira et al.</t>
  </si>
  <si>
    <t>Teórico (simulaciones Car-Parrinello MD)</t>
  </si>
  <si>
    <t>Wa-2006-01.pdf</t>
  </si>
  <si>
    <t>Mesu et al.</t>
  </si>
  <si>
    <t>Sí, estudia la coordinación con histidina en solución acuosa</t>
  </si>
  <si>
    <t>Agua y otros solventes (agua con histidina como ligando)</t>
  </si>
  <si>
    <t>Experimental (IR, Raman, UV/vis/NIR, ESR, XAS)</t>
  </si>
  <si>
    <t>Sí, propone diferentes geometrías de coordinación según el pH</t>
  </si>
  <si>
    <t>Sí, a través de análisis EXAFS (Cu-O y Cu-N)</t>
  </si>
  <si>
    <t>Wa-2006-02.pdf</t>
  </si>
  <si>
    <t>Iino et al.</t>
  </si>
  <si>
    <t>Sí, del ion Cu+</t>
  </si>
  <si>
    <t>Híbrido (espectroscopia IR experimental y cálculos DFT)</t>
  </si>
  <si>
    <t>Gaseosa (clústeres)</t>
  </si>
  <si>
    <t>Wa-2007-01.pdf</t>
  </si>
  <si>
    <t>Duncombe et al.</t>
  </si>
  <si>
    <t>Agua y otros solventes (amoníaco)</t>
  </si>
  <si>
    <t>Experimental (espectrometría de masas)</t>
  </si>
  <si>
    <t>Sí, discute la estabilidad especial del número de coordinación 8</t>
  </si>
  <si>
    <t>No</t>
  </si>
  <si>
    <t>Wa-2008-03.pdf</t>
  </si>
  <si>
    <t>Frank et al.</t>
  </si>
  <si>
    <t>Agua y amoníaco</t>
  </si>
  <si>
    <t>Híbrido (XAS y teórico)</t>
  </si>
  <si>
    <t>Sí, propone coordinación 5 (pirámide cuadrada)</t>
  </si>
  <si>
    <t>Sí, reporta distancias Cu-Neq a 2.00 Å y Cu-Nax a 2.16 Å</t>
  </si>
  <si>
    <t>Wa-2010-01.pdf</t>
  </si>
  <si>
    <t>Li et al.</t>
  </si>
  <si>
    <t>Sí, como parte del desarrollo de un campo de fuerza</t>
  </si>
  <si>
    <t>Teórico (simulaciones MD y cálculos QM)</t>
  </si>
  <si>
    <t>Cu-2011-01.pdf</t>
  </si>
  <si>
    <t>Wawer et al.</t>
  </si>
  <si>
    <t>Sí, como parte de un estudio sobre cationes divalentes</t>
  </si>
  <si>
    <t>Agua y metanol (el foco es metanol, con datos de agua para comparación)</t>
  </si>
  <si>
    <t>Experimental</t>
  </si>
  <si>
    <t>Cu-2011-02.pdf</t>
  </si>
  <si>
    <t>Dudzik et al.</t>
  </si>
  <si>
    <t>Sí, estudia la coordinación del Cu2+ con la proteína R-sinucleína en un medio acuoso</t>
  </si>
  <si>
    <t>Agua y otros solventes (solución acuosa con la proteína como ligando)</t>
  </si>
  <si>
    <t>Experimental (EPR, ESEEM)</t>
  </si>
  <si>
    <t>Sí, propone una esfera de coordinación específica</t>
  </si>
  <si>
    <t>No, pero define los ligandos</t>
  </si>
  <si>
    <t>Cu-2012-01.pdf</t>
  </si>
  <si>
    <t>Eskici y Axelsen</t>
  </si>
  <si>
    <t>Sí, en el contexto de la enfermedad de Alzheimer y su interacción con péptidos</t>
  </si>
  <si>
    <t>Líquida/Solución (discusión de procesos biológicos)</t>
  </si>
  <si>
    <t>Sí, discute varias geometrías de coordinación</t>
  </si>
  <si>
    <t>Sí, menciona distancias de enlace de Cu(II) en la APP</t>
  </si>
  <si>
    <t>Wa-2012-02.pdf</t>
  </si>
  <si>
    <t>Sí, en complejo con imidazol en solución acuosa</t>
  </si>
  <si>
    <t>Agua y otros solventes (agua con imidazol como ligando)</t>
  </si>
  <si>
    <t>Híbrido (EXAFS y MXAN experimental y teórico)</t>
  </si>
  <si>
    <t>Cu-2013-01.pdf</t>
  </si>
  <si>
    <t>Smirnov</t>
  </si>
  <si>
    <t>Agua y metanol</t>
  </si>
  <si>
    <t>Líquida/Solución y fase gaseosa (para algunos complejos)</t>
  </si>
  <si>
    <t>Cu-2014-01.pdf</t>
  </si>
  <si>
    <t>Tsipis</t>
  </si>
  <si>
    <t>Sí, revisa estudios teóricos sobre compuestos de coordinación de cobre, incluyendo complejos acuosos</t>
  </si>
  <si>
    <t>Agua y otros solventes/ligandos</t>
  </si>
  <si>
    <t>Revisión (enfocada en DFT/TDDFT)</t>
  </si>
  <si>
    <t>Líquida/Solución y fase gaseosa</t>
  </si>
  <si>
    <t>Sí, menciona distancias de enlace Cu-N y Cu-O</t>
  </si>
  <si>
    <t>Cu-2014-02.pdf</t>
  </si>
  <si>
    <t>Stelmashook et al.</t>
  </si>
  <si>
    <t>Sí, en el contexto de enfermedades neurodegenerativas</t>
  </si>
  <si>
    <t>Agua y otros solventes (ambiente biológico)</t>
  </si>
  <si>
    <t>Wa-2014-01.pdf</t>
  </si>
  <si>
    <t>Xiang y Ponder</t>
  </si>
  <si>
    <t>Sí, como sistema de prueba para un nuevo campo de fuerza</t>
  </si>
  <si>
    <t>Agua y otros solventes (ambiente proteico)</t>
  </si>
  <si>
    <t>Teórico (desarrollo de campo de fuerza y simulaciones MD)</t>
  </si>
  <si>
    <t>Cu-2015-01.pdf</t>
  </si>
  <si>
    <t>Liao et al.</t>
  </si>
  <si>
    <t>Sí, desarrolla un modelo para simulaciones de Cu2+</t>
  </si>
  <si>
    <t>Wa-2015-02.pdf</t>
  </si>
  <si>
    <t>La Penna et al.</t>
  </si>
  <si>
    <t>Teórico (cálculos DFT y MD para espectros XANES)</t>
  </si>
  <si>
    <t>Sí, presenta distancias Cu-O en las estructuras modelo</t>
  </si>
  <si>
    <t>Wa-2016-01.pdf</t>
  </si>
  <si>
    <t>Jin et al.</t>
  </si>
  <si>
    <t>Agua, amoníaco y entorno proteico</t>
  </si>
  <si>
    <t>Teórico (DFTB3/MM y VALBOND MD)</t>
  </si>
  <si>
    <t>Cu-2017-01.pdf</t>
  </si>
  <si>
    <t>Mercer et al.</t>
  </si>
  <si>
    <t>No aplica</t>
  </si>
  <si>
    <t>Biológica (in vivo)</t>
  </si>
  <si>
    <t>Wa-2019-01.pdf</t>
  </si>
  <si>
    <t>Yang et al.</t>
  </si>
  <si>
    <t>Teórico (DFT/3D-RISM-SCF)</t>
  </si>
  <si>
    <t>Cu-2019-01.pdf</t>
  </si>
  <si>
    <t>Conradie</t>
  </si>
  <si>
    <t>Teórico (DFT)</t>
  </si>
  <si>
    <t>Complejo acuoso modelado teóricamente</t>
  </si>
  <si>
    <t>Sí, se enfoca en CN=6</t>
  </si>
  <si>
    <t>Sí, reporta longitudes de enlace Cu-O</t>
  </si>
  <si>
    <t>Me-2022-02.pdf</t>
  </si>
  <si>
    <t>Da-yang y Alhameedi</t>
  </si>
  <si>
    <t>Metanol</t>
  </si>
  <si>
    <t>Wa-2024-01.pdf</t>
  </si>
  <si>
    <t>Da-yang et al.</t>
  </si>
  <si>
    <t>Teórico (MP2/IEF-PCM)</t>
  </si>
  <si>
    <t>Líquida/Solución (fase solvente) y Gaseosa (comparativa)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</si>
</sst>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u/>
      <sz val="11"/>
      <color theme="1"/>
      <name val="Aptos Narrow"/>
      <family val="2"/>
      <scheme val="minor"/>
    </font>
    <font>
      <sz val="10"/>
      <color theme="1"/>
      <name val="Arial"/>
      <charset val="1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3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 wrapText="1"/>
    </xf>
    <xf numFmtId="2" fontId="0" fillId="0" borderId="1" xfId="0" applyNumberForma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3" fillId="0" borderId="6" xfId="0" applyFont="1" applyBorder="1" applyAlignment="1">
      <alignment readingOrder="1"/>
    </xf>
    <xf numFmtId="0" fontId="3" fillId="0" borderId="7" xfId="0" applyFont="1" applyBorder="1" applyAlignment="1">
      <alignment readingOrder="1"/>
    </xf>
    <xf numFmtId="0" fontId="3" fillId="0" borderId="8" xfId="0" applyFont="1" applyBorder="1" applyAlignment="1">
      <alignment readingOrder="1"/>
    </xf>
    <xf numFmtId="0" fontId="1" fillId="0" borderId="9" xfId="0" applyFont="1" applyBorder="1" applyAlignment="1">
      <alignment vertical="center" wrapText="1"/>
    </xf>
    <xf numFmtId="0" fontId="0" fillId="0" borderId="9" xfId="0" applyBorder="1" applyAlignment="1">
      <alignment vertical="center"/>
    </xf>
    <xf numFmtId="0" fontId="1" fillId="0" borderId="2" xfId="0" applyFont="1" applyBorder="1" applyAlignment="1">
      <alignment vertical="center" wrapText="1"/>
    </xf>
    <xf numFmtId="0" fontId="0" fillId="0" borderId="2" xfId="0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3" fontId="0" fillId="0" borderId="9" xfId="0" applyNumberFormat="1" applyBorder="1" applyAlignment="1">
      <alignment horizontal="center" vertical="center"/>
    </xf>
    <xf numFmtId="3" fontId="0" fillId="0" borderId="9" xfId="0" applyNumberFormat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 wrapText="1"/>
    </xf>
    <xf numFmtId="3" fontId="0" fillId="3" borderId="9" xfId="0" applyNumberForma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/>
    <xf numFmtId="3" fontId="0" fillId="0" borderId="11" xfId="0" applyNumberFormat="1" applyBorder="1" applyAlignment="1">
      <alignment horizontal="center" vertical="center" wrapText="1"/>
    </xf>
    <xf numFmtId="3" fontId="0" fillId="2" borderId="9" xfId="0" applyNumberFormat="1" applyFill="1" applyBorder="1" applyAlignment="1">
      <alignment horizontal="center" vertical="center" wrapText="1"/>
    </xf>
    <xf numFmtId="3" fontId="0" fillId="2" borderId="11" xfId="0" applyNumberFormat="1" applyFill="1" applyBorder="1" applyAlignment="1">
      <alignment horizontal="center" vertical="center" wrapText="1"/>
    </xf>
    <xf numFmtId="0" fontId="0" fillId="4" borderId="0" xfId="0" applyFill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1" fillId="4" borderId="11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4" borderId="4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3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0" fillId="3" borderId="12" xfId="0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9" xfId="0" applyFon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6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1" fillId="4" borderId="1" xfId="0" applyFont="1" applyFill="1" applyBorder="1" applyAlignment="1">
      <alignment vertical="center" wrapText="1"/>
    </xf>
    <xf numFmtId="0" fontId="0" fillId="4" borderId="0" xfId="0" applyFill="1"/>
    <xf numFmtId="0" fontId="0" fillId="4" borderId="0" xfId="0" applyFill="1" applyAlignment="1">
      <alignment horizontal="center" vertical="center"/>
    </xf>
    <xf numFmtId="0" fontId="1" fillId="0" borderId="11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 wrapText="1"/>
    </xf>
    <xf numFmtId="0" fontId="0" fillId="0" borderId="11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/>
    </xf>
    <xf numFmtId="3" fontId="0" fillId="0" borderId="9" xfId="0" applyNumberFormat="1" applyFill="1" applyBorder="1" applyAlignment="1">
      <alignment horizontal="center" vertical="center" wrapText="1"/>
    </xf>
    <xf numFmtId="0" fontId="1" fillId="0" borderId="12" xfId="0" applyFont="1" applyFill="1" applyBorder="1" applyAlignment="1">
      <alignment horizontal="center" vertical="center" wrapText="1"/>
    </xf>
    <xf numFmtId="0" fontId="0" fillId="0" borderId="14" xfId="0" applyFill="1" applyBorder="1" applyAlignment="1">
      <alignment horizontal="center" vertical="center"/>
    </xf>
    <xf numFmtId="0" fontId="0" fillId="0" borderId="12" xfId="0" applyFill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3" fontId="0" fillId="0" borderId="11" xfId="0" applyNumberFormat="1" applyFill="1" applyBorder="1" applyAlignment="1">
      <alignment horizontal="center" vertical="center" wrapText="1"/>
    </xf>
    <xf numFmtId="0" fontId="1" fillId="0" borderId="13" xfId="0" applyFont="1" applyFill="1" applyBorder="1" applyAlignment="1">
      <alignment horizontal="center" vertical="center" wrapText="1"/>
    </xf>
    <xf numFmtId="0" fontId="0" fillId="0" borderId="15" xfId="0" applyFill="1" applyBorder="1" applyAlignment="1">
      <alignment horizontal="center" vertical="center"/>
    </xf>
    <xf numFmtId="0" fontId="0" fillId="0" borderId="13" xfId="0" applyFill="1" applyBorder="1" applyAlignment="1">
      <alignment horizontal="center" vertical="center"/>
    </xf>
    <xf numFmtId="0" fontId="1" fillId="0" borderId="9" xfId="0" applyFont="1" applyFill="1" applyBorder="1" applyAlignment="1">
      <alignment horizontal="center" vertical="center" wrapText="1"/>
    </xf>
    <xf numFmtId="0" fontId="0" fillId="0" borderId="16" xfId="0" applyFill="1" applyBorder="1" applyAlignment="1">
      <alignment horizontal="center" vertical="center"/>
    </xf>
    <xf numFmtId="0" fontId="1" fillId="0" borderId="10" xfId="0" applyFont="1" applyFill="1" applyBorder="1" applyAlignment="1">
      <alignment horizontal="center" vertical="center" wrapText="1"/>
    </xf>
    <xf numFmtId="0" fontId="0" fillId="0" borderId="9" xfId="0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 wrapText="1"/>
    </xf>
    <xf numFmtId="3" fontId="0" fillId="3" borderId="9" xfId="0" applyNumberFormat="1" applyFill="1" applyBorder="1" applyAlignment="1">
      <alignment horizontal="center" vertical="center" wrapText="1"/>
    </xf>
    <xf numFmtId="0" fontId="0" fillId="0" borderId="11" xfId="0" applyFill="1" applyBorder="1" applyAlignment="1">
      <alignment horizontal="center" vertical="center" wrapText="1"/>
    </xf>
    <xf numFmtId="0" fontId="0" fillId="0" borderId="13" xfId="0" applyFill="1" applyBorder="1" applyAlignment="1">
      <alignment horizontal="center" vertical="center" wrapText="1"/>
    </xf>
  </cellXfs>
  <cellStyles count="1">
    <cellStyle name="Normal" xfId="0" builtinId="0"/>
  </cellStyles>
  <dxfs count="11"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wrapText="1"/>
    </dxf>
    <dxf>
      <alignment horizontal="center" vertical="center" textRotation="0" wrapText="1" indent="0" justifyLastLine="0" shrinkToFit="0" readingOrder="0"/>
    </dxf>
    <dxf>
      <alignment horizontal="center" vertical="center" wrapText="1"/>
    </dxf>
    <dxf>
      <alignment horizontal="center" vertical="center"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9D3746D-E1F5-4CFF-A5F0-48B02C19CF37}" name="Tabla1" displayName="Tabla1" ref="B2:J30" totalsRowShown="0" headerRowDxfId="10" dataDxfId="9">
  <autoFilter ref="B2:J30" xr:uid="{89D3746D-E1F5-4CFF-A5F0-48B02C19CF37}"/>
  <sortState xmlns:xlrd2="http://schemas.microsoft.com/office/spreadsheetml/2017/richdata2" ref="B3:J30">
    <sortCondition ref="D2:D30"/>
  </sortState>
  <tableColumns count="9">
    <tableColumn id="1" xr3:uid="{06CFC1B5-F3A8-4F6E-9660-6A930790EB98}" name="Archivo" dataDxfId="8"/>
    <tableColumn id="2" xr3:uid="{50EB7871-9B7D-46ED-9583-7DA105F6FE82}" name="Autor" dataDxfId="7"/>
    <tableColumn id="3" xr3:uid="{B65F625A-10AC-4DB8-9CDA-89F021766E62}" name="Año" dataDxfId="6"/>
    <tableColumn id="4" xr3:uid="{7F76F945-9274-4273-B1F3-590B9DF31518}" name="Estudia la solvatación del cobre" dataDxfId="5"/>
    <tableColumn id="5" xr3:uid="{A8C54E17-8DF2-4959-99AA-928F924A6C78}" name="Solventes estudiados" dataDxfId="4"/>
    <tableColumn id="6" xr3:uid="{ED850967-F72C-44B4-A02A-04CAA1913F30}" name="Tipo de estudio" dataDxfId="3"/>
    <tableColumn id="7" xr3:uid="{D992C880-BF00-4477-A9FE-1EE89F0A4C00}" name="Fase de estudio" dataDxfId="2"/>
    <tableColumn id="8" xr3:uid="{D0175FA6-0584-42A0-B478-68ABC620D24B}" name="Reporta número de coordinación" dataDxfId="1"/>
    <tableColumn id="9" xr3:uid="{85CC6E89-2C06-4BF1-9116-07DF03CFBAB9}" name="Reporta distancias de enlac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B9950-D0E3-4B8B-8D6E-CF1EEE847A0B}">
  <dimension ref="A2:P30"/>
  <sheetViews>
    <sheetView tabSelected="1" topLeftCell="B1" zoomScale="95" zoomScaleNormal="115" workbookViewId="0">
      <selection activeCell="B19" sqref="B19"/>
    </sheetView>
  </sheetViews>
  <sheetFormatPr defaultColWidth="11.42578125" defaultRowHeight="14.45"/>
  <cols>
    <col min="1" max="1" width="25.140625" style="2" customWidth="1"/>
    <col min="2" max="2" width="15.85546875" style="2" bestFit="1" customWidth="1"/>
    <col min="3" max="3" width="17.42578125" style="2" bestFit="1" customWidth="1"/>
    <col min="4" max="4" width="3.5703125" style="2" bestFit="1" customWidth="1"/>
    <col min="5" max="5" width="18" style="2" customWidth="1"/>
    <col min="6" max="6" width="15.5703125" style="2" customWidth="1"/>
    <col min="7" max="7" width="25.140625" style="2" customWidth="1"/>
    <col min="8" max="8" width="16.140625" style="2" bestFit="1" customWidth="1"/>
    <col min="9" max="9" width="17" style="2" bestFit="1" customWidth="1"/>
    <col min="10" max="10" width="4" style="2" bestFit="1" customWidth="1"/>
    <col min="11" max="11" width="23.42578125" style="2" bestFit="1" customWidth="1"/>
    <col min="12" max="12" width="19.28515625" style="2" customWidth="1"/>
    <col min="13" max="13" width="14.42578125" style="2" bestFit="1" customWidth="1"/>
    <col min="14" max="14" width="16.42578125" style="2" bestFit="1" customWidth="1"/>
    <col min="15" max="15" width="16.28515625" style="2" bestFit="1" customWidth="1"/>
    <col min="16" max="16" width="16.28515625" style="1" bestFit="1" customWidth="1"/>
  </cols>
  <sheetData>
    <row r="2" spans="2:16" ht="15" thickBot="1">
      <c r="B2" s="64" t="s">
        <v>0</v>
      </c>
      <c r="C2" s="64"/>
      <c r="D2" s="64"/>
      <c r="E2" s="64"/>
      <c r="F2" s="64"/>
      <c r="H2" s="64" t="s">
        <v>1</v>
      </c>
      <c r="I2" s="64"/>
      <c r="J2" s="64"/>
      <c r="K2" s="64"/>
      <c r="L2" s="64"/>
      <c r="M2" s="64"/>
      <c r="N2" s="64"/>
      <c r="O2" s="64"/>
      <c r="P2" s="64"/>
    </row>
    <row r="3" spans="2:16" ht="15" thickBot="1">
      <c r="B3" s="37" t="s">
        <v>2</v>
      </c>
      <c r="C3" s="37" t="s">
        <v>3</v>
      </c>
      <c r="D3" s="37" t="s">
        <v>4</v>
      </c>
      <c r="E3" s="37" t="s">
        <v>5</v>
      </c>
      <c r="F3" s="37" t="s">
        <v>6</v>
      </c>
      <c r="G3" s="6"/>
      <c r="H3" s="37" t="s">
        <v>2</v>
      </c>
      <c r="I3" s="37" t="s">
        <v>3</v>
      </c>
      <c r="J3" s="37" t="s">
        <v>4</v>
      </c>
      <c r="K3" s="37"/>
      <c r="L3" s="41" t="s">
        <v>7</v>
      </c>
      <c r="M3" s="37" t="s">
        <v>5</v>
      </c>
      <c r="N3" s="37" t="s">
        <v>8</v>
      </c>
      <c r="O3" s="37" t="s">
        <v>9</v>
      </c>
      <c r="P3" s="37" t="s">
        <v>10</v>
      </c>
    </row>
    <row r="4" spans="2:16" ht="29.45" thickBot="1">
      <c r="B4" s="61" t="s">
        <v>11</v>
      </c>
      <c r="C4" s="59" t="s">
        <v>12</v>
      </c>
      <c r="D4" s="37">
        <v>4</v>
      </c>
      <c r="E4" s="3">
        <v>1.94</v>
      </c>
      <c r="F4" s="41"/>
      <c r="G4" s="6"/>
      <c r="H4" s="41" t="s">
        <v>13</v>
      </c>
      <c r="I4" s="43" t="s">
        <v>14</v>
      </c>
      <c r="J4" s="41">
        <v>6</v>
      </c>
      <c r="K4" s="41"/>
      <c r="L4" s="41" t="s">
        <v>15</v>
      </c>
      <c r="M4" s="41"/>
      <c r="N4" s="41"/>
      <c r="O4" s="41"/>
      <c r="P4" s="7">
        <v>2.1</v>
      </c>
    </row>
    <row r="5" spans="2:16" ht="15" thickBot="1">
      <c r="B5" s="62"/>
      <c r="C5" s="60"/>
      <c r="D5" s="41">
        <v>5</v>
      </c>
      <c r="E5" s="4">
        <v>1.99</v>
      </c>
      <c r="F5" s="38">
        <v>2.21</v>
      </c>
      <c r="G5" s="6"/>
      <c r="H5" s="41" t="s">
        <v>16</v>
      </c>
      <c r="I5" s="41" t="s">
        <v>17</v>
      </c>
      <c r="J5" s="41">
        <v>6</v>
      </c>
      <c r="K5" s="41"/>
      <c r="L5" s="41"/>
      <c r="M5" s="41"/>
      <c r="N5" s="41"/>
      <c r="O5" s="41"/>
      <c r="P5" s="7"/>
    </row>
    <row r="6" spans="2:16" ht="15" thickBot="1">
      <c r="B6" s="63"/>
      <c r="C6" s="60"/>
      <c r="D6" s="41">
        <v>6</v>
      </c>
      <c r="E6" s="4">
        <v>2.0099999999999998</v>
      </c>
      <c r="F6" s="41">
        <v>2.27</v>
      </c>
      <c r="G6" s="6"/>
      <c r="H6" s="41" t="s">
        <v>18</v>
      </c>
      <c r="I6" s="41" t="s">
        <v>19</v>
      </c>
      <c r="J6" s="41">
        <v>3.8</v>
      </c>
      <c r="K6" s="41"/>
      <c r="L6" s="43"/>
      <c r="M6" s="41" t="s">
        <v>20</v>
      </c>
      <c r="N6" s="41"/>
      <c r="O6" s="41"/>
      <c r="P6" s="7"/>
    </row>
    <row r="7" spans="2:16">
      <c r="B7" s="61" t="s">
        <v>21</v>
      </c>
      <c r="C7" s="59" t="s">
        <v>22</v>
      </c>
      <c r="D7" s="37">
        <v>4</v>
      </c>
      <c r="E7" s="4">
        <v>1.95</v>
      </c>
      <c r="F7" s="4"/>
      <c r="H7" s="61" t="s">
        <v>23</v>
      </c>
      <c r="I7" s="65" t="s">
        <v>19</v>
      </c>
      <c r="J7" s="41">
        <v>5</v>
      </c>
      <c r="K7" s="41"/>
      <c r="L7" s="41"/>
      <c r="M7" s="41" t="s">
        <v>24</v>
      </c>
      <c r="N7" s="41"/>
      <c r="O7" s="41" t="s">
        <v>25</v>
      </c>
      <c r="P7" s="41"/>
    </row>
    <row r="8" spans="2:16">
      <c r="B8" s="62"/>
      <c r="C8" s="60"/>
      <c r="D8" s="41">
        <v>5</v>
      </c>
      <c r="E8" s="4">
        <v>2</v>
      </c>
      <c r="F8" s="4">
        <v>2.15</v>
      </c>
      <c r="H8" s="62"/>
      <c r="I8" s="66"/>
      <c r="J8" s="41">
        <v>6</v>
      </c>
      <c r="K8" s="41"/>
      <c r="L8" s="41"/>
      <c r="M8" s="41" t="s">
        <v>24</v>
      </c>
      <c r="N8" s="41"/>
      <c r="O8" s="41" t="s">
        <v>26</v>
      </c>
      <c r="P8" s="41"/>
    </row>
    <row r="9" spans="2:16">
      <c r="B9" s="63"/>
      <c r="C9" s="60"/>
      <c r="D9" s="41">
        <v>6</v>
      </c>
      <c r="E9" s="4">
        <v>2.02</v>
      </c>
      <c r="F9" s="4">
        <v>2.2599999999999998</v>
      </c>
      <c r="H9" s="62"/>
      <c r="I9" s="65" t="s">
        <v>27</v>
      </c>
      <c r="J9" s="41">
        <v>4</v>
      </c>
      <c r="K9" s="41"/>
      <c r="L9" s="41" t="s">
        <v>28</v>
      </c>
      <c r="M9" s="41" t="s">
        <v>29</v>
      </c>
      <c r="N9" s="41" t="s">
        <v>29</v>
      </c>
      <c r="O9" s="41"/>
      <c r="P9" s="41"/>
    </row>
    <row r="10" spans="2:16" ht="29.1">
      <c r="B10" s="61" t="s">
        <v>30</v>
      </c>
      <c r="C10" s="59" t="s">
        <v>31</v>
      </c>
      <c r="D10" s="37">
        <v>4</v>
      </c>
      <c r="E10" s="41">
        <v>1.97</v>
      </c>
      <c r="F10" s="41"/>
      <c r="H10" s="62"/>
      <c r="I10" s="67"/>
      <c r="J10" s="41">
        <v>4</v>
      </c>
      <c r="K10" s="41"/>
      <c r="L10" s="43" t="s">
        <v>32</v>
      </c>
      <c r="M10" s="41" t="s">
        <v>33</v>
      </c>
      <c r="N10" s="41" t="s">
        <v>33</v>
      </c>
      <c r="O10" s="41"/>
      <c r="P10" s="7"/>
    </row>
    <row r="11" spans="2:16">
      <c r="B11" s="62"/>
      <c r="C11" s="60"/>
      <c r="D11" s="41">
        <v>5</v>
      </c>
      <c r="E11" s="41">
        <v>1.99</v>
      </c>
      <c r="F11" s="41">
        <v>2.16</v>
      </c>
      <c r="H11" s="62"/>
      <c r="I11" s="67"/>
      <c r="J11" s="41">
        <v>5</v>
      </c>
      <c r="K11" s="41"/>
      <c r="L11" s="41"/>
      <c r="M11" s="41" t="s">
        <v>34</v>
      </c>
      <c r="N11" s="41" t="s">
        <v>35</v>
      </c>
      <c r="O11" s="41" t="s">
        <v>36</v>
      </c>
      <c r="P11" s="7"/>
    </row>
    <row r="12" spans="2:16">
      <c r="B12" s="63"/>
      <c r="C12" s="60"/>
      <c r="D12" s="41">
        <v>6</v>
      </c>
      <c r="E12" s="41">
        <v>2.02</v>
      </c>
      <c r="F12" s="41">
        <v>2.2400000000000002</v>
      </c>
      <c r="H12" s="63"/>
      <c r="I12" s="66"/>
      <c r="J12" s="41">
        <v>6</v>
      </c>
      <c r="K12" s="41"/>
      <c r="L12" s="41"/>
      <c r="M12" s="41" t="s">
        <v>34</v>
      </c>
      <c r="N12" s="41" t="s">
        <v>34</v>
      </c>
      <c r="O12" s="41" t="s">
        <v>37</v>
      </c>
      <c r="P12" s="7"/>
    </row>
    <row r="13" spans="2:16" ht="29.25">
      <c r="B13" s="61" t="s">
        <v>38</v>
      </c>
      <c r="C13" s="59" t="s">
        <v>39</v>
      </c>
      <c r="D13" s="37">
        <v>4</v>
      </c>
      <c r="E13" s="41">
        <v>1.95</v>
      </c>
      <c r="F13" s="41"/>
      <c r="H13" s="37" t="s">
        <v>40</v>
      </c>
      <c r="I13" s="41" t="s">
        <v>19</v>
      </c>
      <c r="J13" s="41">
        <v>6</v>
      </c>
      <c r="K13" s="41"/>
      <c r="L13" s="43" t="s">
        <v>41</v>
      </c>
      <c r="M13" s="41" t="s">
        <v>42</v>
      </c>
      <c r="N13" s="41"/>
      <c r="O13" s="41" t="s">
        <v>43</v>
      </c>
      <c r="P13" s="7" t="s">
        <v>44</v>
      </c>
    </row>
    <row r="14" spans="2:16">
      <c r="B14" s="62"/>
      <c r="C14" s="60"/>
      <c r="D14" s="41">
        <v>5</v>
      </c>
      <c r="E14" s="41">
        <v>1.99</v>
      </c>
      <c r="F14" s="41">
        <v>2.14</v>
      </c>
    </row>
    <row r="15" spans="2:16">
      <c r="B15" s="62"/>
      <c r="C15" s="60"/>
      <c r="D15" s="41">
        <v>6</v>
      </c>
      <c r="E15" s="41">
        <v>2.02</v>
      </c>
      <c r="F15" s="41">
        <v>2.2599999999999998</v>
      </c>
    </row>
    <row r="16" spans="2:16" ht="15" customHeight="1">
      <c r="B16" s="62"/>
      <c r="C16" s="59" t="s">
        <v>45</v>
      </c>
      <c r="D16" s="37">
        <v>4</v>
      </c>
      <c r="E16" s="41">
        <v>1.96</v>
      </c>
      <c r="F16" s="41"/>
    </row>
    <row r="17" spans="2:6">
      <c r="B17" s="62"/>
      <c r="C17" s="60"/>
      <c r="D17" s="41">
        <v>5</v>
      </c>
      <c r="E17" s="41">
        <v>1.99</v>
      </c>
      <c r="F17" s="41">
        <v>2.19</v>
      </c>
    </row>
    <row r="18" spans="2:6">
      <c r="B18" s="63"/>
      <c r="C18" s="60"/>
      <c r="D18" s="41">
        <v>6</v>
      </c>
      <c r="E18" s="41">
        <v>2.0099999999999998</v>
      </c>
      <c r="F18" s="41">
        <v>2.2599999999999998</v>
      </c>
    </row>
    <row r="28" spans="2:6">
      <c r="B28" s="5"/>
    </row>
    <row r="29" spans="2:6">
      <c r="B29" s="5"/>
    </row>
    <row r="30" spans="2:6">
      <c r="B30" s="5"/>
    </row>
  </sheetData>
  <mergeCells count="14">
    <mergeCell ref="C16:C18"/>
    <mergeCell ref="B13:B18"/>
    <mergeCell ref="H2:P2"/>
    <mergeCell ref="H7:H12"/>
    <mergeCell ref="I7:I8"/>
    <mergeCell ref="I9:I12"/>
    <mergeCell ref="C13:C15"/>
    <mergeCell ref="B2:F2"/>
    <mergeCell ref="C4:C6"/>
    <mergeCell ref="B4:B6"/>
    <mergeCell ref="C7:C9"/>
    <mergeCell ref="C10:C12"/>
    <mergeCell ref="B7:B9"/>
    <mergeCell ref="B10:B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0D136-7807-4745-A136-7DF5344595AB}">
  <dimension ref="B2:I17"/>
  <sheetViews>
    <sheetView workbookViewId="0">
      <selection activeCell="I3" sqref="I3"/>
    </sheetView>
  </sheetViews>
  <sheetFormatPr defaultColWidth="9.140625" defaultRowHeight="14.45"/>
  <cols>
    <col min="2" max="2" width="57.5703125" customWidth="1"/>
  </cols>
  <sheetData>
    <row r="2" spans="2:9">
      <c r="B2" t="s">
        <v>46</v>
      </c>
      <c r="C2">
        <f xml:space="preserve"> (30+5) * 12</f>
        <v>420</v>
      </c>
    </row>
    <row r="3" spans="2:9">
      <c r="B3" t="s">
        <v>47</v>
      </c>
      <c r="C3">
        <f xml:space="preserve"> (30+5) * 16</f>
        <v>560</v>
      </c>
      <c r="H3">
        <v>1</v>
      </c>
      <c r="I3">
        <f>$D$13/H3</f>
        <v>140.33333333333334</v>
      </c>
    </row>
    <row r="4" spans="2:9">
      <c r="B4" t="s">
        <v>48</v>
      </c>
      <c r="C4">
        <f xml:space="preserve"> 4 * 60</f>
        <v>240</v>
      </c>
      <c r="H4">
        <v>2</v>
      </c>
      <c r="I4">
        <f t="shared" ref="I4:I17" si="0">$D$13/H4</f>
        <v>70.166666666666671</v>
      </c>
    </row>
    <row r="5" spans="2:9">
      <c r="H5">
        <v>3</v>
      </c>
      <c r="I5">
        <f t="shared" si="0"/>
        <v>46.777777777777779</v>
      </c>
    </row>
    <row r="6" spans="2:9">
      <c r="B6" t="s">
        <v>49</v>
      </c>
      <c r="C6">
        <f xml:space="preserve"> 60 * 30</f>
        <v>1800</v>
      </c>
      <c r="H6">
        <v>4</v>
      </c>
      <c r="I6">
        <f t="shared" si="0"/>
        <v>35.083333333333336</v>
      </c>
    </row>
    <row r="7" spans="2:9">
      <c r="H7">
        <v>5</v>
      </c>
      <c r="I7">
        <f t="shared" si="0"/>
        <v>28.06666666666667</v>
      </c>
    </row>
    <row r="8" spans="2:9">
      <c r="B8" t="s">
        <v>50</v>
      </c>
      <c r="C8">
        <f xml:space="preserve"> 60 * 30</f>
        <v>1800</v>
      </c>
      <c r="H8">
        <v>6</v>
      </c>
      <c r="I8">
        <f t="shared" si="0"/>
        <v>23.388888888888889</v>
      </c>
    </row>
    <row r="9" spans="2:9">
      <c r="H9">
        <v>7</v>
      </c>
      <c r="I9">
        <f t="shared" si="0"/>
        <v>20.047619047619047</v>
      </c>
    </row>
    <row r="10" spans="2:9">
      <c r="B10" t="s">
        <v>51</v>
      </c>
      <c r="C10">
        <f xml:space="preserve"> 60 * 60</f>
        <v>3600</v>
      </c>
      <c r="H10">
        <v>8</v>
      </c>
      <c r="I10">
        <f t="shared" si="0"/>
        <v>17.541666666666668</v>
      </c>
    </row>
    <row r="11" spans="2:9">
      <c r="H11">
        <v>9</v>
      </c>
      <c r="I11">
        <f t="shared" si="0"/>
        <v>15.592592592592593</v>
      </c>
    </row>
    <row r="12" spans="2:9">
      <c r="H12">
        <v>10</v>
      </c>
      <c r="I12">
        <f t="shared" si="0"/>
        <v>14.033333333333335</v>
      </c>
    </row>
    <row r="13" spans="2:9">
      <c r="C13">
        <f>SUM(C2:C12)</f>
        <v>8420</v>
      </c>
      <c r="D13">
        <f>C13/60</f>
        <v>140.33333333333334</v>
      </c>
      <c r="H13">
        <v>11</v>
      </c>
      <c r="I13">
        <f t="shared" si="0"/>
        <v>12.757575757575758</v>
      </c>
    </row>
    <row r="14" spans="2:9">
      <c r="H14">
        <v>12</v>
      </c>
      <c r="I14">
        <f t="shared" si="0"/>
        <v>11.694444444444445</v>
      </c>
    </row>
    <row r="15" spans="2:9">
      <c r="H15">
        <v>13</v>
      </c>
      <c r="I15">
        <f t="shared" si="0"/>
        <v>10.794871794871796</v>
      </c>
    </row>
    <row r="16" spans="2:9">
      <c r="H16">
        <v>14</v>
      </c>
      <c r="I16">
        <f t="shared" si="0"/>
        <v>10.023809523809524</v>
      </c>
    </row>
    <row r="17" spans="8:9">
      <c r="H17">
        <v>15</v>
      </c>
      <c r="I17">
        <f t="shared" si="0"/>
        <v>9.3555555555555561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7C60D-49B6-4030-978D-AB0C021BF735}">
  <dimension ref="A1:L113"/>
  <sheetViews>
    <sheetView zoomScale="86" workbookViewId="0">
      <selection activeCell="B10" sqref="B10:J10"/>
    </sheetView>
  </sheetViews>
  <sheetFormatPr defaultColWidth="11.42578125" defaultRowHeight="14.45"/>
  <cols>
    <col min="1" max="1" width="10.85546875" style="2"/>
    <col min="2" max="2" width="21.5703125" style="2" bestFit="1" customWidth="1"/>
    <col min="3" max="3" width="25.140625" style="2" customWidth="1"/>
    <col min="4" max="4" width="24.140625" style="2" customWidth="1"/>
    <col min="5" max="5" width="10.85546875" style="2" customWidth="1"/>
    <col min="6" max="6" width="22.42578125" style="2" customWidth="1"/>
    <col min="7" max="7" width="19.5703125" style="2" customWidth="1"/>
    <col min="8" max="8" width="25.140625" style="2" customWidth="1"/>
    <col min="9" max="10" width="19.5703125" style="2" customWidth="1"/>
    <col min="11" max="12" width="10.85546875" style="2"/>
  </cols>
  <sheetData>
    <row r="1" spans="1:10" s="2" customFormat="1">
      <c r="B1" s="11" t="s">
        <v>52</v>
      </c>
    </row>
    <row r="2" spans="1:10" s="2" customFormat="1">
      <c r="B2" s="37" t="s">
        <v>2</v>
      </c>
      <c r="C2" s="37" t="s">
        <v>3</v>
      </c>
      <c r="D2" s="37" t="s">
        <v>53</v>
      </c>
      <c r="E2" s="37" t="s">
        <v>4</v>
      </c>
      <c r="F2" s="41" t="s">
        <v>7</v>
      </c>
      <c r="G2" s="37" t="s">
        <v>5</v>
      </c>
      <c r="H2" s="37" t="s">
        <v>8</v>
      </c>
      <c r="I2" s="37" t="s">
        <v>9</v>
      </c>
      <c r="J2" s="37" t="s">
        <v>10</v>
      </c>
    </row>
    <row r="3" spans="1:10" s="2" customFormat="1" ht="29.1">
      <c r="B3" s="44" t="s">
        <v>40</v>
      </c>
      <c r="C3" s="45" t="s">
        <v>19</v>
      </c>
      <c r="D3" s="45"/>
      <c r="E3" s="45">
        <v>6</v>
      </c>
      <c r="F3" s="35" t="s">
        <v>54</v>
      </c>
      <c r="G3" s="45" t="s">
        <v>55</v>
      </c>
      <c r="H3" s="45"/>
      <c r="I3" s="45" t="s">
        <v>56</v>
      </c>
      <c r="J3" s="45" t="s">
        <v>26</v>
      </c>
    </row>
    <row r="4" spans="1:10" s="2" customFormat="1" ht="29.1">
      <c r="B4" s="76" t="s">
        <v>57</v>
      </c>
      <c r="C4" s="45" t="s">
        <v>19</v>
      </c>
      <c r="D4" s="68" t="s">
        <v>58</v>
      </c>
      <c r="E4" s="45">
        <v>6</v>
      </c>
      <c r="F4" s="45" t="s">
        <v>59</v>
      </c>
      <c r="G4" s="45">
        <v>1.97</v>
      </c>
      <c r="H4" s="45"/>
      <c r="I4" s="35" t="s">
        <v>60</v>
      </c>
      <c r="J4" s="35" t="s">
        <v>61</v>
      </c>
    </row>
    <row r="5" spans="1:10" s="2" customFormat="1" ht="29.1">
      <c r="B5" s="77"/>
      <c r="C5" s="71" t="s">
        <v>62</v>
      </c>
      <c r="D5" s="69"/>
      <c r="E5" s="45">
        <v>5</v>
      </c>
      <c r="F5" s="45" t="s">
        <v>63</v>
      </c>
      <c r="G5" s="35" t="s">
        <v>64</v>
      </c>
      <c r="H5" s="45"/>
      <c r="I5" s="35" t="s">
        <v>65</v>
      </c>
      <c r="J5" s="45"/>
    </row>
    <row r="6" spans="1:10" s="2" customFormat="1" ht="29.1">
      <c r="B6" s="78"/>
      <c r="C6" s="72"/>
      <c r="D6" s="70"/>
      <c r="E6" s="45">
        <v>6</v>
      </c>
      <c r="F6" s="45" t="s">
        <v>59</v>
      </c>
      <c r="G6" s="35" t="s">
        <v>66</v>
      </c>
      <c r="H6" s="45"/>
      <c r="I6" s="35" t="s">
        <v>67</v>
      </c>
      <c r="J6" s="35" t="s">
        <v>68</v>
      </c>
    </row>
    <row r="7" spans="1:10" s="2" customFormat="1">
      <c r="B7" s="74" t="s">
        <v>69</v>
      </c>
      <c r="C7" s="75" t="s">
        <v>62</v>
      </c>
      <c r="D7" s="71" t="s">
        <v>70</v>
      </c>
      <c r="E7" s="45">
        <v>5</v>
      </c>
      <c r="F7" s="45" t="s">
        <v>63</v>
      </c>
      <c r="G7" s="45" t="s">
        <v>34</v>
      </c>
      <c r="H7" s="45"/>
      <c r="I7" s="45" t="s">
        <v>71</v>
      </c>
      <c r="J7" s="45"/>
    </row>
    <row r="8" spans="1:10" s="2" customFormat="1">
      <c r="B8" s="74"/>
      <c r="C8" s="75"/>
      <c r="D8" s="72"/>
      <c r="E8" s="45" t="s">
        <v>72</v>
      </c>
      <c r="F8" s="45" t="s">
        <v>63</v>
      </c>
      <c r="G8" s="45" t="s">
        <v>73</v>
      </c>
      <c r="H8" s="45"/>
      <c r="I8" s="45" t="s">
        <v>74</v>
      </c>
      <c r="J8" s="45" t="s">
        <v>75</v>
      </c>
    </row>
    <row r="9" spans="1:10" s="2" customFormat="1">
      <c r="B9" s="74"/>
      <c r="C9" s="75"/>
      <c r="D9" s="45" t="s">
        <v>76</v>
      </c>
      <c r="E9" s="45" t="s">
        <v>72</v>
      </c>
      <c r="F9" s="45" t="s">
        <v>63</v>
      </c>
      <c r="G9" s="45" t="s">
        <v>77</v>
      </c>
      <c r="H9" s="45"/>
      <c r="I9" s="45" t="s">
        <v>78</v>
      </c>
      <c r="J9" s="45" t="s">
        <v>79</v>
      </c>
    </row>
    <row r="10" spans="1:10" s="2" customFormat="1" ht="57.95">
      <c r="A10" s="116"/>
      <c r="B10" s="114" t="s">
        <v>80</v>
      </c>
      <c r="C10" s="43" t="s">
        <v>81</v>
      </c>
      <c r="D10" s="10" t="s">
        <v>82</v>
      </c>
      <c r="E10" s="43" t="s">
        <v>83</v>
      </c>
      <c r="F10" s="43" t="s">
        <v>84</v>
      </c>
      <c r="G10" s="41"/>
      <c r="H10" s="41"/>
      <c r="I10" s="41"/>
      <c r="J10" s="41"/>
    </row>
    <row r="11" spans="1:10" s="2" customFormat="1" ht="29.1">
      <c r="B11" s="9" t="s">
        <v>85</v>
      </c>
      <c r="C11" s="41" t="s">
        <v>86</v>
      </c>
      <c r="D11" s="8" t="s">
        <v>70</v>
      </c>
      <c r="E11" s="41">
        <v>6</v>
      </c>
      <c r="F11" s="43" t="s">
        <v>54</v>
      </c>
      <c r="G11" s="4">
        <v>2</v>
      </c>
      <c r="H11" s="4"/>
      <c r="I11" s="4" t="s">
        <v>87</v>
      </c>
      <c r="J11" s="4" t="s">
        <v>87</v>
      </c>
    </row>
    <row r="12" spans="1:10" s="2" customFormat="1" ht="29.1" customHeight="1">
      <c r="B12" s="59" t="s">
        <v>88</v>
      </c>
      <c r="C12" s="73" t="s">
        <v>89</v>
      </c>
      <c r="D12" s="64" t="s">
        <v>70</v>
      </c>
      <c r="E12" s="41">
        <v>4</v>
      </c>
      <c r="F12" s="41" t="s">
        <v>90</v>
      </c>
      <c r="G12" s="41" t="s">
        <v>91</v>
      </c>
      <c r="H12" s="4"/>
      <c r="I12" s="4"/>
      <c r="J12" s="4"/>
    </row>
    <row r="13" spans="1:10" s="2" customFormat="1">
      <c r="B13" s="59"/>
      <c r="C13" s="73"/>
      <c r="D13" s="64"/>
      <c r="E13" s="41">
        <v>5</v>
      </c>
      <c r="F13" s="41" t="s">
        <v>92</v>
      </c>
      <c r="G13" s="41" t="s">
        <v>93</v>
      </c>
      <c r="H13" s="41" t="s">
        <v>94</v>
      </c>
      <c r="I13" s="4" t="s">
        <v>95</v>
      </c>
      <c r="J13" s="4"/>
    </row>
    <row r="14" spans="1:10" s="2" customFormat="1" ht="24.95" customHeight="1">
      <c r="B14" s="9" t="s">
        <v>96</v>
      </c>
      <c r="C14" s="41" t="s">
        <v>97</v>
      </c>
      <c r="D14" s="8" t="s">
        <v>70</v>
      </c>
      <c r="E14" s="41">
        <v>5</v>
      </c>
      <c r="F14" s="41" t="s">
        <v>63</v>
      </c>
      <c r="G14" s="41" t="s">
        <v>20</v>
      </c>
      <c r="H14" s="4"/>
      <c r="I14" s="41" t="s">
        <v>98</v>
      </c>
      <c r="J14" s="4"/>
    </row>
    <row r="15" spans="1:10" s="2" customFormat="1" ht="29.1">
      <c r="A15" s="116"/>
      <c r="B15" s="19" t="s">
        <v>99</v>
      </c>
      <c r="C15" s="23" t="s">
        <v>100</v>
      </c>
      <c r="D15" s="20" t="s">
        <v>70</v>
      </c>
      <c r="E15" s="42">
        <v>5</v>
      </c>
      <c r="F15" s="23" t="s">
        <v>101</v>
      </c>
      <c r="G15" s="42">
        <v>1.96</v>
      </c>
      <c r="H15" s="42"/>
      <c r="I15" s="42">
        <v>1.96</v>
      </c>
      <c r="J15" s="42"/>
    </row>
    <row r="16" spans="1:10" s="2" customFormat="1" ht="29.1">
      <c r="B16" s="17" t="s">
        <v>102</v>
      </c>
      <c r="C16" s="53" t="s">
        <v>103</v>
      </c>
      <c r="D16" s="18" t="s">
        <v>70</v>
      </c>
      <c r="E16" s="52">
        <v>6</v>
      </c>
      <c r="F16" s="53" t="s">
        <v>54</v>
      </c>
      <c r="G16" s="52" t="s">
        <v>104</v>
      </c>
      <c r="H16" s="52"/>
      <c r="I16" s="52"/>
      <c r="J16" s="52"/>
    </row>
    <row r="17" spans="2:10" s="2" customFormat="1" ht="29.1">
      <c r="B17" s="17" t="s">
        <v>105</v>
      </c>
      <c r="C17" s="53" t="s">
        <v>19</v>
      </c>
      <c r="D17" s="18" t="s">
        <v>70</v>
      </c>
      <c r="E17" s="50">
        <v>6</v>
      </c>
      <c r="F17" s="53" t="s">
        <v>54</v>
      </c>
      <c r="G17" s="50" t="s">
        <v>106</v>
      </c>
      <c r="H17" s="50"/>
      <c r="I17" s="50" t="s">
        <v>107</v>
      </c>
      <c r="J17" s="50"/>
    </row>
    <row r="18" spans="2:10" s="2" customFormat="1">
      <c r="B18" s="17" t="s">
        <v>108</v>
      </c>
      <c r="C18" s="53" t="s">
        <v>103</v>
      </c>
      <c r="D18" s="21" t="s">
        <v>70</v>
      </c>
      <c r="E18" s="52" t="s">
        <v>109</v>
      </c>
      <c r="F18" s="53" t="s">
        <v>110</v>
      </c>
      <c r="G18" s="52" t="s">
        <v>111</v>
      </c>
      <c r="H18" s="52"/>
      <c r="I18" s="52"/>
      <c r="J18" s="52"/>
    </row>
    <row r="19" spans="2:10" s="2" customFormat="1"/>
    <row r="20" spans="2:10" s="2" customFormat="1"/>
    <row r="21" spans="2:10" s="2" customFormat="1"/>
    <row r="22" spans="2:10" s="2" customFormat="1">
      <c r="B22" s="14" t="s">
        <v>112</v>
      </c>
    </row>
    <row r="23" spans="2:10" s="2" customFormat="1">
      <c r="B23" s="15" t="s">
        <v>113</v>
      </c>
      <c r="I23" s="12"/>
    </row>
    <row r="24" spans="2:10" s="2" customFormat="1">
      <c r="B24" s="15" t="s">
        <v>114</v>
      </c>
    </row>
    <row r="25" spans="2:10" s="2" customFormat="1" ht="43.5">
      <c r="B25" s="15" t="s">
        <v>115</v>
      </c>
      <c r="C25" s="13" t="s">
        <v>116</v>
      </c>
    </row>
    <row r="26" spans="2:10" s="2" customFormat="1" ht="29.1">
      <c r="B26" s="15" t="s">
        <v>117</v>
      </c>
      <c r="C26" s="13" t="s">
        <v>118</v>
      </c>
    </row>
    <row r="27" spans="2:10" s="2" customFormat="1">
      <c r="B27" s="15" t="s">
        <v>119</v>
      </c>
      <c r="C27" s="13" t="s">
        <v>120</v>
      </c>
    </row>
    <row r="28" spans="2:10" s="2" customFormat="1">
      <c r="B28" s="15" t="s">
        <v>121</v>
      </c>
      <c r="C28" s="13" t="s">
        <v>122</v>
      </c>
    </row>
    <row r="29" spans="2:10" s="2" customFormat="1">
      <c r="B29" s="15" t="s">
        <v>123</v>
      </c>
      <c r="C29" s="13" t="s">
        <v>124</v>
      </c>
    </row>
    <row r="30" spans="2:10" s="2" customFormat="1">
      <c r="B30" s="15" t="s">
        <v>125</v>
      </c>
      <c r="C30" s="13" t="s">
        <v>126</v>
      </c>
    </row>
    <row r="31" spans="2:10" s="2" customFormat="1">
      <c r="B31" s="15" t="s">
        <v>127</v>
      </c>
      <c r="C31" s="13" t="s">
        <v>7</v>
      </c>
    </row>
    <row r="32" spans="2:10" s="2" customFormat="1">
      <c r="B32" s="15" t="s">
        <v>128</v>
      </c>
      <c r="C32" s="13" t="s">
        <v>129</v>
      </c>
    </row>
    <row r="33" spans="2:3" s="2" customFormat="1">
      <c r="B33" s="15" t="s">
        <v>130</v>
      </c>
      <c r="C33" s="13" t="s">
        <v>131</v>
      </c>
    </row>
    <row r="34" spans="2:3" s="2" customFormat="1">
      <c r="B34" s="15" t="s">
        <v>132</v>
      </c>
    </row>
    <row r="35" spans="2:3" s="2" customFormat="1">
      <c r="B35" s="15" t="s">
        <v>133</v>
      </c>
    </row>
    <row r="36" spans="2:3" s="2" customFormat="1">
      <c r="B36" s="15" t="s">
        <v>134</v>
      </c>
    </row>
    <row r="37" spans="2:3" s="2" customFormat="1">
      <c r="B37" s="15" t="s">
        <v>135</v>
      </c>
    </row>
    <row r="38" spans="2:3" s="2" customFormat="1">
      <c r="B38" s="15" t="s">
        <v>136</v>
      </c>
    </row>
    <row r="39" spans="2:3" s="2" customFormat="1">
      <c r="B39" s="15" t="s">
        <v>137</v>
      </c>
    </row>
    <row r="40" spans="2:3" s="2" customFormat="1">
      <c r="B40" s="15" t="s">
        <v>138</v>
      </c>
    </row>
    <row r="41" spans="2:3" s="2" customFormat="1">
      <c r="B41" s="15" t="s">
        <v>139</v>
      </c>
    </row>
    <row r="42" spans="2:3" s="2" customFormat="1">
      <c r="B42" s="15" t="s">
        <v>140</v>
      </c>
    </row>
    <row r="43" spans="2:3" s="2" customFormat="1">
      <c r="B43" s="15" t="s">
        <v>141</v>
      </c>
    </row>
    <row r="44" spans="2:3" s="2" customFormat="1">
      <c r="B44" s="15" t="s">
        <v>142</v>
      </c>
    </row>
    <row r="45" spans="2:3" s="2" customFormat="1">
      <c r="B45" s="15" t="s">
        <v>143</v>
      </c>
    </row>
    <row r="46" spans="2:3" s="2" customFormat="1">
      <c r="B46" s="15" t="s">
        <v>144</v>
      </c>
    </row>
    <row r="47" spans="2:3" s="2" customFormat="1">
      <c r="B47" s="15" t="s">
        <v>145</v>
      </c>
    </row>
    <row r="48" spans="2:3" s="2" customFormat="1">
      <c r="B48" s="15" t="s">
        <v>146</v>
      </c>
    </row>
    <row r="49" spans="2:2" s="2" customFormat="1">
      <c r="B49" s="15" t="s">
        <v>147</v>
      </c>
    </row>
    <row r="50" spans="2:2" s="2" customFormat="1">
      <c r="B50" s="16" t="s">
        <v>148</v>
      </c>
    </row>
    <row r="51" spans="2:2" s="2" customFormat="1"/>
    <row r="52" spans="2:2" s="2" customFormat="1"/>
    <row r="53" spans="2:2" s="2" customFormat="1"/>
    <row r="54" spans="2:2" s="2" customFormat="1"/>
    <row r="55" spans="2:2" s="2" customFormat="1"/>
    <row r="56" spans="2:2" s="2" customFormat="1"/>
    <row r="57" spans="2:2" s="2" customFormat="1"/>
    <row r="58" spans="2:2" s="2" customFormat="1"/>
    <row r="59" spans="2:2" s="2" customFormat="1"/>
    <row r="60" spans="2:2" s="2" customFormat="1"/>
    <row r="61" spans="2:2" s="2" customFormat="1"/>
    <row r="62" spans="2:2" s="2" customFormat="1"/>
    <row r="63" spans="2:2" s="2" customFormat="1"/>
    <row r="64" spans="2:2" s="2" customFormat="1"/>
    <row r="65" s="2" customFormat="1"/>
    <row r="66" s="2" customFormat="1"/>
    <row r="67" s="2" customFormat="1"/>
    <row r="68" s="2" customFormat="1"/>
    <row r="69" s="2" customFormat="1"/>
    <row r="70" s="2" customFormat="1"/>
    <row r="71" s="2" customFormat="1"/>
    <row r="72" s="2" customFormat="1"/>
    <row r="73" s="2" customFormat="1"/>
    <row r="74" s="2" customFormat="1"/>
    <row r="75" s="2" customFormat="1"/>
    <row r="76" s="2" customFormat="1"/>
    <row r="77" s="2" customFormat="1"/>
    <row r="78" s="2" customFormat="1"/>
    <row r="79" s="2" customFormat="1"/>
    <row r="80" s="2" customFormat="1"/>
    <row r="81" s="2" customFormat="1"/>
    <row r="82" s="2" customFormat="1"/>
    <row r="83" s="2" customFormat="1"/>
    <row r="84" s="2" customFormat="1"/>
    <row r="85" s="2" customFormat="1"/>
    <row r="86" s="2" customFormat="1"/>
    <row r="87" s="2" customFormat="1"/>
    <row r="88" s="2" customFormat="1"/>
    <row r="89" s="2" customFormat="1"/>
    <row r="90" s="2" customFormat="1"/>
    <row r="91" s="2" customFormat="1"/>
    <row r="92" s="2" customFormat="1"/>
    <row r="93" s="2" customFormat="1"/>
    <row r="94" s="2" customFormat="1"/>
    <row r="95" s="2" customFormat="1"/>
    <row r="96" s="2" customFormat="1"/>
    <row r="97" s="2" customFormat="1"/>
    <row r="98" s="2" customFormat="1"/>
    <row r="99" s="2" customFormat="1"/>
    <row r="100" s="2" customFormat="1"/>
    <row r="101" s="2" customFormat="1"/>
    <row r="102" s="2" customFormat="1"/>
    <row r="103" s="2" customFormat="1"/>
    <row r="104" s="2" customFormat="1"/>
    <row r="105" s="2" customFormat="1"/>
    <row r="106" s="2" customFormat="1"/>
    <row r="107" s="2" customFormat="1"/>
    <row r="108" s="2" customFormat="1"/>
    <row r="109" s="2" customFormat="1"/>
    <row r="110" s="2" customFormat="1"/>
    <row r="111" s="2" customFormat="1"/>
    <row r="112" s="2" customFormat="1"/>
    <row r="113" s="2" customFormat="1"/>
  </sheetData>
  <mergeCells count="9">
    <mergeCell ref="D4:D6"/>
    <mergeCell ref="D7:D8"/>
    <mergeCell ref="B12:B13"/>
    <mergeCell ref="C12:C13"/>
    <mergeCell ref="D12:D13"/>
    <mergeCell ref="B7:B9"/>
    <mergeCell ref="C7:C9"/>
    <mergeCell ref="C5:C6"/>
    <mergeCell ref="B4:B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F3EC0-8318-4E43-BDE2-AEB789E559A3}">
  <dimension ref="A2:N61"/>
  <sheetViews>
    <sheetView topLeftCell="A45" zoomScale="134" workbookViewId="0">
      <selection activeCell="F49" sqref="F49:F51"/>
    </sheetView>
  </sheetViews>
  <sheetFormatPr defaultColWidth="11.42578125" defaultRowHeight="15"/>
  <cols>
    <col min="2" max="2" width="17.140625" style="2" customWidth="1"/>
    <col min="3" max="3" width="23.5703125" style="2" customWidth="1"/>
    <col min="4" max="4" width="30.7109375" style="2" customWidth="1"/>
    <col min="5" max="5" width="25.140625" style="2" customWidth="1"/>
    <col min="6" max="6" width="22.5703125" style="2" customWidth="1"/>
    <col min="7" max="7" width="11.42578125" style="2"/>
    <col min="8" max="8" width="23.5703125" style="2" bestFit="1" customWidth="1"/>
    <col min="9" max="9" width="19" style="2" customWidth="1"/>
    <col min="10" max="10" width="26.140625" style="2" customWidth="1"/>
    <col min="11" max="11" width="20.85546875" style="2" customWidth="1"/>
    <col min="12" max="13" width="11.42578125" style="2"/>
    <col min="14" max="14" width="36.5703125" style="2" bestFit="1" customWidth="1"/>
  </cols>
  <sheetData>
    <row r="2" spans="2:14">
      <c r="B2" s="2" t="s">
        <v>52</v>
      </c>
    </row>
    <row r="3" spans="2:14">
      <c r="B3" s="39" t="s">
        <v>2</v>
      </c>
      <c r="C3" s="39" t="s">
        <v>3</v>
      </c>
      <c r="D3" s="39" t="s">
        <v>149</v>
      </c>
      <c r="E3" s="39" t="s">
        <v>150</v>
      </c>
      <c r="F3" s="39" t="s">
        <v>53</v>
      </c>
      <c r="G3" s="39" t="s">
        <v>4</v>
      </c>
      <c r="H3" s="42" t="s">
        <v>7</v>
      </c>
      <c r="I3" s="39" t="s">
        <v>5</v>
      </c>
      <c r="J3" s="39" t="s">
        <v>9</v>
      </c>
      <c r="K3" s="39" t="s">
        <v>10</v>
      </c>
    </row>
    <row r="4" spans="2:14" ht="43.5" customHeight="1">
      <c r="M4" s="2" t="s">
        <v>151</v>
      </c>
      <c r="N4" s="22" t="s">
        <v>152</v>
      </c>
    </row>
    <row r="7" spans="2:14" ht="29.25" customHeight="1">
      <c r="B7" s="103" t="s">
        <v>153</v>
      </c>
      <c r="C7" s="106" t="s">
        <v>154</v>
      </c>
      <c r="D7" s="97" t="s">
        <v>155</v>
      </c>
      <c r="E7" s="97" t="s">
        <v>156</v>
      </c>
      <c r="F7" s="100" t="s">
        <v>157</v>
      </c>
      <c r="G7" s="52">
        <v>4</v>
      </c>
      <c r="H7" s="52" t="s">
        <v>158</v>
      </c>
      <c r="I7" s="24">
        <v>1956</v>
      </c>
      <c r="J7" s="52"/>
      <c r="K7" s="52"/>
      <c r="M7" s="2" t="s">
        <v>151</v>
      </c>
    </row>
    <row r="8" spans="2:14">
      <c r="B8" s="103"/>
      <c r="C8" s="107"/>
      <c r="D8" s="98"/>
      <c r="E8" s="98"/>
      <c r="F8" s="101"/>
      <c r="G8" s="52">
        <v>5</v>
      </c>
      <c r="H8" s="52" t="s">
        <v>159</v>
      </c>
      <c r="I8" s="52" t="s">
        <v>160</v>
      </c>
      <c r="J8" s="24">
        <v>2212</v>
      </c>
      <c r="K8" s="52"/>
    </row>
    <row r="9" spans="2:14" ht="29.25">
      <c r="B9" s="103"/>
      <c r="C9" s="109"/>
      <c r="D9" s="99"/>
      <c r="E9" s="99"/>
      <c r="F9" s="102"/>
      <c r="G9" s="52">
        <v>6</v>
      </c>
      <c r="H9" s="26" t="s">
        <v>161</v>
      </c>
      <c r="I9" s="53" t="s">
        <v>162</v>
      </c>
      <c r="J9" s="24">
        <v>2281</v>
      </c>
      <c r="K9" s="24">
        <v>2281</v>
      </c>
    </row>
    <row r="10" spans="2:14" ht="29.25">
      <c r="B10" s="40" t="s">
        <v>163</v>
      </c>
      <c r="C10" s="52" t="s">
        <v>154</v>
      </c>
      <c r="D10" s="53" t="s">
        <v>155</v>
      </c>
      <c r="E10" s="52" t="s">
        <v>156</v>
      </c>
      <c r="F10" s="52" t="s">
        <v>157</v>
      </c>
      <c r="G10" s="52"/>
      <c r="H10" s="52"/>
      <c r="I10" s="52"/>
      <c r="J10" s="52"/>
      <c r="K10" s="52"/>
    </row>
    <row r="11" spans="2:14" ht="29.25">
      <c r="B11" s="103" t="s">
        <v>164</v>
      </c>
      <c r="C11" s="106" t="s">
        <v>154</v>
      </c>
      <c r="D11" s="100" t="s">
        <v>165</v>
      </c>
      <c r="E11" s="100"/>
      <c r="F11" s="100" t="s">
        <v>157</v>
      </c>
      <c r="G11" s="52">
        <v>5</v>
      </c>
      <c r="H11" s="52" t="s">
        <v>159</v>
      </c>
      <c r="I11" s="53" t="s">
        <v>166</v>
      </c>
      <c r="J11" s="24">
        <v>2162</v>
      </c>
      <c r="K11" s="52"/>
    </row>
    <row r="12" spans="2:14" ht="29.25">
      <c r="B12" s="103"/>
      <c r="C12" s="107"/>
      <c r="D12" s="101"/>
      <c r="E12" s="101"/>
      <c r="F12" s="101"/>
      <c r="G12" s="52">
        <v>5</v>
      </c>
      <c r="H12" s="52" t="s">
        <v>167</v>
      </c>
      <c r="I12" s="25" t="s">
        <v>168</v>
      </c>
      <c r="J12" s="24">
        <v>2052</v>
      </c>
      <c r="K12" s="52"/>
    </row>
    <row r="13" spans="2:14" ht="29.25">
      <c r="B13" s="93"/>
      <c r="C13" s="107"/>
      <c r="D13" s="102"/>
      <c r="E13" s="102"/>
      <c r="F13" s="102"/>
      <c r="G13" s="52">
        <v>6</v>
      </c>
      <c r="H13" s="26" t="s">
        <v>161</v>
      </c>
      <c r="I13" s="53" t="s">
        <v>169</v>
      </c>
      <c r="J13" s="52" t="s">
        <v>170</v>
      </c>
      <c r="K13" s="52"/>
    </row>
    <row r="14" spans="2:14">
      <c r="B14" s="103" t="s">
        <v>171</v>
      </c>
      <c r="C14" s="105" t="s">
        <v>172</v>
      </c>
      <c r="D14" s="108" t="s">
        <v>173</v>
      </c>
      <c r="E14" s="100"/>
      <c r="F14" s="100" t="s">
        <v>157</v>
      </c>
      <c r="G14" s="52">
        <v>4</v>
      </c>
      <c r="H14" s="52" t="s">
        <v>174</v>
      </c>
      <c r="I14" s="52" t="s">
        <v>175</v>
      </c>
      <c r="J14" s="52"/>
      <c r="K14" s="52"/>
    </row>
    <row r="15" spans="2:14" ht="29.25">
      <c r="B15" s="103"/>
      <c r="C15" s="105"/>
      <c r="D15" s="107"/>
      <c r="E15" s="101"/>
      <c r="F15" s="101"/>
      <c r="G15" s="50">
        <v>5</v>
      </c>
      <c r="H15" s="52" t="s">
        <v>159</v>
      </c>
      <c r="I15" s="51" t="s">
        <v>176</v>
      </c>
      <c r="J15" s="50" t="s">
        <v>177</v>
      </c>
      <c r="K15" s="50"/>
    </row>
    <row r="16" spans="2:14">
      <c r="B16" s="103"/>
      <c r="C16" s="105"/>
      <c r="D16" s="109"/>
      <c r="E16" s="102"/>
      <c r="F16" s="102"/>
      <c r="G16" s="52">
        <v>6</v>
      </c>
      <c r="H16" s="52" t="s">
        <v>161</v>
      </c>
      <c r="I16" s="52" t="s">
        <v>178</v>
      </c>
      <c r="J16" s="52" t="s">
        <v>179</v>
      </c>
      <c r="K16" s="52"/>
    </row>
    <row r="17" spans="2:14" ht="29.25">
      <c r="B17" s="103" t="s">
        <v>180</v>
      </c>
      <c r="C17" s="104" t="s">
        <v>181</v>
      </c>
      <c r="D17" s="108" t="s">
        <v>182</v>
      </c>
      <c r="E17" s="100" t="s">
        <v>183</v>
      </c>
      <c r="F17" s="97" t="s">
        <v>184</v>
      </c>
      <c r="G17" s="52">
        <v>4</v>
      </c>
      <c r="H17" s="52" t="s">
        <v>158</v>
      </c>
      <c r="I17" s="25" t="s">
        <v>185</v>
      </c>
      <c r="J17" s="52"/>
      <c r="K17" s="52"/>
      <c r="M17" s="2" t="s">
        <v>186</v>
      </c>
      <c r="N17" s="22" t="s">
        <v>187</v>
      </c>
    </row>
    <row r="18" spans="2:14" ht="29.25">
      <c r="B18" s="103"/>
      <c r="C18" s="105"/>
      <c r="D18" s="107"/>
      <c r="E18" s="101"/>
      <c r="F18" s="101"/>
      <c r="G18" s="50">
        <v>5</v>
      </c>
      <c r="H18" s="52" t="s">
        <v>159</v>
      </c>
      <c r="I18" s="31" t="s">
        <v>188</v>
      </c>
      <c r="J18" s="31" t="s">
        <v>189</v>
      </c>
      <c r="K18" s="50"/>
    </row>
    <row r="19" spans="2:14" ht="29.25">
      <c r="B19" s="103"/>
      <c r="C19" s="105"/>
      <c r="D19" s="109"/>
      <c r="E19" s="102"/>
      <c r="F19" s="102"/>
      <c r="G19" s="52">
        <v>6</v>
      </c>
      <c r="H19" s="26" t="s">
        <v>161</v>
      </c>
      <c r="I19" s="25" t="s">
        <v>190</v>
      </c>
      <c r="J19" s="25" t="s">
        <v>191</v>
      </c>
      <c r="K19" s="25" t="s">
        <v>192</v>
      </c>
    </row>
    <row r="20" spans="2:14" s="30" customFormat="1">
      <c r="B20" s="110" t="s">
        <v>193</v>
      </c>
      <c r="C20" s="84" t="s">
        <v>194</v>
      </c>
      <c r="D20" s="86" t="s">
        <v>195</v>
      </c>
      <c r="E20" s="89"/>
      <c r="F20" s="89" t="s">
        <v>157</v>
      </c>
      <c r="G20" s="54">
        <v>4</v>
      </c>
      <c r="H20" s="54" t="s">
        <v>158</v>
      </c>
      <c r="I20" s="32" t="s">
        <v>110</v>
      </c>
      <c r="J20" s="32" t="s">
        <v>110</v>
      </c>
      <c r="K20" s="32" t="s">
        <v>110</v>
      </c>
      <c r="L20" s="29"/>
      <c r="M20" s="29"/>
      <c r="N20" s="29"/>
    </row>
    <row r="21" spans="2:14">
      <c r="B21" s="110"/>
      <c r="C21" s="85"/>
      <c r="D21" s="87"/>
      <c r="E21" s="90"/>
      <c r="F21" s="90"/>
      <c r="G21" s="55">
        <v>5</v>
      </c>
      <c r="H21" s="54" t="s">
        <v>159</v>
      </c>
      <c r="I21" s="32" t="s">
        <v>110</v>
      </c>
      <c r="J21" s="32" t="s">
        <v>110</v>
      </c>
      <c r="K21" s="32" t="s">
        <v>110</v>
      </c>
    </row>
    <row r="22" spans="2:14">
      <c r="B22" s="81"/>
      <c r="C22" s="89"/>
      <c r="D22" s="87"/>
      <c r="E22" s="90"/>
      <c r="F22" s="90"/>
      <c r="G22" s="55">
        <v>6</v>
      </c>
      <c r="H22" s="55" t="s">
        <v>196</v>
      </c>
      <c r="I22" s="32" t="s">
        <v>110</v>
      </c>
      <c r="J22" s="32" t="s">
        <v>110</v>
      </c>
      <c r="K22" s="32" t="s">
        <v>110</v>
      </c>
    </row>
    <row r="23" spans="2:14" ht="15" customHeight="1">
      <c r="B23" s="103" t="s">
        <v>197</v>
      </c>
      <c r="C23" s="104" t="s">
        <v>198</v>
      </c>
      <c r="D23" s="104" t="s">
        <v>199</v>
      </c>
      <c r="E23" s="105" t="s">
        <v>200</v>
      </c>
      <c r="F23" s="104" t="s">
        <v>201</v>
      </c>
      <c r="G23" s="52">
        <v>4</v>
      </c>
      <c r="H23" s="52" t="s">
        <v>158</v>
      </c>
      <c r="I23" s="25"/>
      <c r="J23" s="52"/>
      <c r="K23" s="52"/>
    </row>
    <row r="24" spans="2:14">
      <c r="B24" s="103"/>
      <c r="C24" s="104"/>
      <c r="D24" s="104"/>
      <c r="E24" s="105"/>
      <c r="F24" s="104"/>
      <c r="G24" s="52">
        <v>5</v>
      </c>
      <c r="H24" s="52" t="s">
        <v>159</v>
      </c>
      <c r="I24" s="25"/>
      <c r="J24" s="25"/>
      <c r="K24" s="52"/>
    </row>
    <row r="25" spans="2:14">
      <c r="B25" s="103" t="s">
        <v>202</v>
      </c>
      <c r="C25" s="106" t="s">
        <v>154</v>
      </c>
      <c r="D25" s="108" t="s">
        <v>203</v>
      </c>
      <c r="E25" s="100" t="s">
        <v>204</v>
      </c>
      <c r="F25" s="100" t="s">
        <v>157</v>
      </c>
      <c r="G25" s="52"/>
      <c r="H25" s="52"/>
      <c r="I25" s="25"/>
      <c r="J25" s="52"/>
      <c r="K25" s="52"/>
    </row>
    <row r="26" spans="2:14" ht="29.25">
      <c r="B26" s="103"/>
      <c r="C26" s="107"/>
      <c r="D26" s="107"/>
      <c r="E26" s="101"/>
      <c r="F26" s="101"/>
      <c r="G26" s="50"/>
      <c r="H26" s="52"/>
      <c r="I26" s="31"/>
      <c r="J26" s="31"/>
      <c r="K26" s="50"/>
      <c r="M26" s="2" t="s">
        <v>205</v>
      </c>
      <c r="N26" s="22" t="s">
        <v>206</v>
      </c>
    </row>
    <row r="27" spans="2:14">
      <c r="B27" s="103"/>
      <c r="C27" s="107"/>
      <c r="D27" s="109"/>
      <c r="E27" s="102"/>
      <c r="F27" s="102"/>
      <c r="G27" s="52"/>
      <c r="H27" s="26"/>
      <c r="I27" s="25"/>
      <c r="J27" s="25"/>
      <c r="K27" s="25"/>
    </row>
    <row r="28" spans="2:14" ht="15" customHeight="1"/>
    <row r="29" spans="2:14">
      <c r="M29" s="2" t="s">
        <v>205</v>
      </c>
      <c r="N29" s="2" t="s">
        <v>207</v>
      </c>
    </row>
    <row r="32" spans="2:14">
      <c r="B32" s="81" t="s">
        <v>208</v>
      </c>
      <c r="C32" s="84" t="s">
        <v>209</v>
      </c>
      <c r="D32" s="86"/>
      <c r="E32" s="89"/>
      <c r="F32" s="92" t="s">
        <v>210</v>
      </c>
      <c r="G32" s="54"/>
      <c r="H32" s="54"/>
      <c r="I32" s="32"/>
      <c r="J32" s="54"/>
      <c r="K32" s="54"/>
    </row>
    <row r="33" spans="2:11">
      <c r="B33" s="82"/>
      <c r="C33" s="85"/>
      <c r="D33" s="87"/>
      <c r="E33" s="90"/>
      <c r="F33" s="90"/>
      <c r="G33" s="55"/>
      <c r="H33" s="54"/>
      <c r="I33" s="33"/>
      <c r="J33" s="33"/>
      <c r="K33" s="55"/>
    </row>
    <row r="34" spans="2:11">
      <c r="B34" s="83"/>
      <c r="C34" s="85"/>
      <c r="D34" s="88"/>
      <c r="E34" s="91"/>
      <c r="F34" s="91"/>
      <c r="G34" s="54"/>
      <c r="H34" s="54"/>
      <c r="I34" s="32"/>
      <c r="J34" s="32"/>
      <c r="K34" s="32"/>
    </row>
    <row r="35" spans="2:11">
      <c r="B35" s="117" t="s">
        <v>211</v>
      </c>
      <c r="C35" s="118" t="s">
        <v>212</v>
      </c>
      <c r="D35" s="118" t="s">
        <v>213</v>
      </c>
      <c r="E35" s="119"/>
      <c r="F35" s="120" t="s">
        <v>184</v>
      </c>
      <c r="G35" s="121"/>
      <c r="H35" s="121"/>
      <c r="I35" s="122"/>
      <c r="J35" s="121"/>
      <c r="K35" s="121"/>
    </row>
    <row r="36" spans="2:11">
      <c r="B36" s="123"/>
      <c r="C36" s="124"/>
      <c r="D36" s="124"/>
      <c r="E36" s="125"/>
      <c r="F36" s="125"/>
      <c r="G36" s="126"/>
      <c r="H36" s="121"/>
      <c r="I36" s="127"/>
      <c r="J36" s="127"/>
      <c r="K36" s="126"/>
    </row>
    <row r="37" spans="2:11">
      <c r="B37" s="128"/>
      <c r="C37" s="124"/>
      <c r="D37" s="129"/>
      <c r="E37" s="130"/>
      <c r="F37" s="130"/>
      <c r="G37" s="121"/>
      <c r="H37" s="121"/>
      <c r="I37" s="122"/>
      <c r="J37" s="122"/>
      <c r="K37" s="122"/>
    </row>
    <row r="38" spans="2:11">
      <c r="B38" s="131" t="s">
        <v>214</v>
      </c>
      <c r="C38" s="132" t="s">
        <v>154</v>
      </c>
      <c r="D38" s="118" t="s">
        <v>215</v>
      </c>
      <c r="E38" s="119"/>
      <c r="F38" s="119" t="s">
        <v>157</v>
      </c>
      <c r="G38" s="121"/>
      <c r="H38" s="121"/>
      <c r="I38" s="122"/>
      <c r="J38" s="121"/>
      <c r="K38" s="121"/>
    </row>
    <row r="39" spans="2:11">
      <c r="B39" s="131"/>
      <c r="C39" s="124"/>
      <c r="D39" s="124"/>
      <c r="E39" s="125"/>
      <c r="F39" s="125"/>
      <c r="G39" s="126">
        <v>5</v>
      </c>
      <c r="H39" s="121" t="s">
        <v>159</v>
      </c>
      <c r="I39" s="127"/>
      <c r="J39" s="127"/>
      <c r="K39" s="126"/>
    </row>
    <row r="40" spans="2:11">
      <c r="B40" s="131"/>
      <c r="C40" s="124"/>
      <c r="D40" s="129"/>
      <c r="E40" s="130"/>
      <c r="F40" s="130"/>
      <c r="G40" s="121">
        <v>6</v>
      </c>
      <c r="H40" s="121" t="s">
        <v>161</v>
      </c>
      <c r="I40" s="122"/>
      <c r="J40" s="122"/>
      <c r="K40" s="122"/>
    </row>
    <row r="41" spans="2:11">
      <c r="B41" s="131" t="s">
        <v>216</v>
      </c>
      <c r="C41" s="132" t="s">
        <v>154</v>
      </c>
      <c r="D41" s="118" t="s">
        <v>217</v>
      </c>
      <c r="E41" s="119"/>
      <c r="F41" s="119" t="s">
        <v>157</v>
      </c>
      <c r="G41" s="121"/>
      <c r="H41" s="121"/>
      <c r="I41" s="122" t="s">
        <v>110</v>
      </c>
      <c r="J41" s="122" t="s">
        <v>110</v>
      </c>
      <c r="K41" s="122" t="s">
        <v>110</v>
      </c>
    </row>
    <row r="42" spans="2:11">
      <c r="B42" s="131"/>
      <c r="C42" s="124"/>
      <c r="D42" s="124"/>
      <c r="E42" s="125"/>
      <c r="F42" s="125"/>
      <c r="G42" s="126"/>
      <c r="H42" s="121"/>
      <c r="I42" s="122" t="s">
        <v>110</v>
      </c>
      <c r="J42" s="122" t="s">
        <v>110</v>
      </c>
      <c r="K42" s="122" t="s">
        <v>110</v>
      </c>
    </row>
    <row r="43" spans="2:11">
      <c r="B43" s="131"/>
      <c r="C43" s="124"/>
      <c r="D43" s="129"/>
      <c r="E43" s="130"/>
      <c r="F43" s="130"/>
      <c r="G43" s="121"/>
      <c r="H43" s="121"/>
      <c r="I43" s="122" t="s">
        <v>110</v>
      </c>
      <c r="J43" s="122" t="s">
        <v>110</v>
      </c>
      <c r="K43" s="122" t="s">
        <v>110</v>
      </c>
    </row>
    <row r="44" spans="2:11">
      <c r="B44" s="133" t="s">
        <v>218</v>
      </c>
      <c r="C44" s="134" t="s">
        <v>154</v>
      </c>
      <c r="D44" s="118" t="s">
        <v>219</v>
      </c>
      <c r="E44" s="119"/>
      <c r="F44" s="119" t="s">
        <v>157</v>
      </c>
      <c r="G44" s="121"/>
      <c r="H44" s="121"/>
      <c r="I44" s="122"/>
      <c r="J44" s="121"/>
      <c r="K44" s="121"/>
    </row>
    <row r="45" spans="2:11">
      <c r="B45" s="133"/>
      <c r="C45" s="134"/>
      <c r="D45" s="124"/>
      <c r="E45" s="125"/>
      <c r="F45" s="125"/>
      <c r="G45" s="126"/>
      <c r="H45" s="121"/>
      <c r="I45" s="127"/>
      <c r="J45" s="127"/>
      <c r="K45" s="126"/>
    </row>
    <row r="46" spans="2:11">
      <c r="B46" s="133"/>
      <c r="C46" s="134"/>
      <c r="D46" s="129"/>
      <c r="E46" s="130"/>
      <c r="F46" s="130"/>
      <c r="G46" s="121"/>
      <c r="H46" s="121"/>
      <c r="I46" s="122"/>
      <c r="J46" s="122"/>
      <c r="K46" s="122"/>
    </row>
    <row r="48" spans="2:11">
      <c r="B48" s="39" t="s">
        <v>2</v>
      </c>
      <c r="C48" s="39" t="s">
        <v>3</v>
      </c>
      <c r="D48" s="39" t="s">
        <v>149</v>
      </c>
      <c r="E48" s="39" t="s">
        <v>150</v>
      </c>
      <c r="F48" s="39" t="s">
        <v>53</v>
      </c>
      <c r="G48" s="39" t="s">
        <v>4</v>
      </c>
      <c r="H48" s="42" t="s">
        <v>7</v>
      </c>
      <c r="I48" s="39" t="s">
        <v>5</v>
      </c>
      <c r="J48" s="39" t="s">
        <v>9</v>
      </c>
      <c r="K48" s="39" t="s">
        <v>10</v>
      </c>
    </row>
    <row r="49" spans="1:11" ht="29.25">
      <c r="B49" s="79" t="s">
        <v>220</v>
      </c>
      <c r="C49" s="94" t="s">
        <v>221</v>
      </c>
      <c r="D49" s="94" t="s">
        <v>222</v>
      </c>
      <c r="E49" s="46"/>
      <c r="F49" s="111" t="s">
        <v>223</v>
      </c>
      <c r="G49" s="26">
        <v>4</v>
      </c>
      <c r="H49" s="27" t="s">
        <v>224</v>
      </c>
      <c r="I49" s="27" t="s">
        <v>225</v>
      </c>
      <c r="J49" s="26"/>
      <c r="K49" s="26"/>
    </row>
    <row r="50" spans="1:11">
      <c r="B50" s="80"/>
      <c r="C50" s="95"/>
      <c r="D50" s="95"/>
      <c r="E50" s="47"/>
      <c r="F50" s="112"/>
      <c r="G50" s="26">
        <v>5</v>
      </c>
      <c r="H50" s="26" t="s">
        <v>226</v>
      </c>
      <c r="I50" s="28" t="s">
        <v>227</v>
      </c>
      <c r="J50" s="28" t="s">
        <v>228</v>
      </c>
      <c r="K50" s="26"/>
    </row>
    <row r="51" spans="1:11" ht="29.25">
      <c r="B51" s="80"/>
      <c r="C51" s="96"/>
      <c r="D51" s="96"/>
      <c r="E51" s="48"/>
      <c r="F51" s="113"/>
      <c r="G51" s="26">
        <v>6</v>
      </c>
      <c r="H51" s="26" t="s">
        <v>161</v>
      </c>
      <c r="I51" s="26" t="s">
        <v>229</v>
      </c>
      <c r="J51" s="136" t="s">
        <v>230</v>
      </c>
      <c r="K51" s="28"/>
    </row>
    <row r="52" spans="1:11">
      <c r="B52" s="79" t="s">
        <v>231</v>
      </c>
      <c r="C52" s="94" t="s">
        <v>232</v>
      </c>
      <c r="D52" s="97" t="s">
        <v>233</v>
      </c>
      <c r="E52" s="97" t="s">
        <v>207</v>
      </c>
      <c r="F52" s="97" t="s">
        <v>184</v>
      </c>
      <c r="G52" s="52">
        <v>4</v>
      </c>
      <c r="H52" s="52" t="s">
        <v>158</v>
      </c>
      <c r="I52" s="25" t="s">
        <v>234</v>
      </c>
      <c r="J52" s="52"/>
      <c r="K52" s="52"/>
    </row>
    <row r="53" spans="1:11">
      <c r="B53" s="80"/>
      <c r="C53" s="95"/>
      <c r="D53" s="98"/>
      <c r="E53" s="98"/>
      <c r="F53" s="98"/>
      <c r="G53" s="50">
        <v>5</v>
      </c>
      <c r="H53" s="52" t="s">
        <v>159</v>
      </c>
      <c r="I53" s="31" t="s">
        <v>235</v>
      </c>
      <c r="J53" s="31" t="s">
        <v>236</v>
      </c>
      <c r="K53" s="50"/>
    </row>
    <row r="54" spans="1:11" ht="29.25">
      <c r="B54" s="80"/>
      <c r="C54" s="95"/>
      <c r="D54" s="98"/>
      <c r="E54" s="98"/>
      <c r="F54" s="98"/>
      <c r="G54" s="52">
        <v>5</v>
      </c>
      <c r="H54" s="52" t="s">
        <v>167</v>
      </c>
      <c r="I54" s="25" t="s">
        <v>237</v>
      </c>
      <c r="J54" s="25" t="s">
        <v>238</v>
      </c>
      <c r="K54" s="25"/>
    </row>
    <row r="55" spans="1:11" ht="29.25">
      <c r="B55" s="80"/>
      <c r="C55" s="95"/>
      <c r="D55" s="98"/>
      <c r="E55" s="99"/>
      <c r="F55" s="98"/>
      <c r="G55" s="50">
        <v>6</v>
      </c>
      <c r="H55" s="49" t="s">
        <v>161</v>
      </c>
      <c r="I55" s="31" t="s">
        <v>239</v>
      </c>
      <c r="J55" s="31" t="s">
        <v>240</v>
      </c>
      <c r="K55" s="31"/>
    </row>
    <row r="56" spans="1:11" ht="29.25">
      <c r="B56" s="56" t="s">
        <v>99</v>
      </c>
      <c r="C56" s="46" t="s">
        <v>241</v>
      </c>
      <c r="D56" s="51" t="s">
        <v>242</v>
      </c>
      <c r="E56" s="51" t="s">
        <v>243</v>
      </c>
      <c r="F56" s="50" t="s">
        <v>244</v>
      </c>
      <c r="G56" s="50">
        <v>5</v>
      </c>
      <c r="H56" s="51" t="s">
        <v>245</v>
      </c>
      <c r="I56" s="50" t="s">
        <v>246</v>
      </c>
      <c r="J56" s="50"/>
      <c r="K56" s="50"/>
    </row>
    <row r="57" spans="1:11" ht="43.5">
      <c r="B57" s="58" t="s">
        <v>247</v>
      </c>
      <c r="C57" s="135" t="s">
        <v>248</v>
      </c>
      <c r="D57" s="135" t="s">
        <v>249</v>
      </c>
      <c r="E57" s="135" t="s">
        <v>250</v>
      </c>
      <c r="F57" s="52" t="s">
        <v>244</v>
      </c>
      <c r="G57" s="52">
        <v>6</v>
      </c>
      <c r="H57" s="52" t="s">
        <v>251</v>
      </c>
      <c r="I57" s="53" t="s">
        <v>252</v>
      </c>
      <c r="J57" s="53" t="s">
        <v>253</v>
      </c>
      <c r="K57" s="52"/>
    </row>
    <row r="58" spans="1:11" ht="57.75">
      <c r="B58" s="58" t="s">
        <v>254</v>
      </c>
      <c r="C58" s="135" t="s">
        <v>255</v>
      </c>
      <c r="D58" s="135" t="s">
        <v>256</v>
      </c>
      <c r="E58" s="135" t="s">
        <v>257</v>
      </c>
      <c r="F58" s="135" t="s">
        <v>244</v>
      </c>
      <c r="G58" s="135" t="s">
        <v>258</v>
      </c>
      <c r="H58" s="135" t="s">
        <v>259</v>
      </c>
      <c r="I58" s="135" t="s">
        <v>260</v>
      </c>
      <c r="J58" s="135"/>
      <c r="K58" s="135"/>
    </row>
    <row r="59" spans="1:11" ht="43.5">
      <c r="A59" s="2" t="s">
        <v>261</v>
      </c>
      <c r="B59" s="56" t="s">
        <v>262</v>
      </c>
      <c r="C59" s="137" t="s">
        <v>255</v>
      </c>
      <c r="D59" s="137" t="s">
        <v>263</v>
      </c>
      <c r="E59" s="137" t="s">
        <v>264</v>
      </c>
      <c r="F59" s="137" t="s">
        <v>244</v>
      </c>
      <c r="G59" s="137">
        <v>5</v>
      </c>
      <c r="H59" s="137" t="s">
        <v>265</v>
      </c>
      <c r="I59" s="137" t="s">
        <v>260</v>
      </c>
      <c r="J59" s="137" t="s">
        <v>266</v>
      </c>
      <c r="K59" s="137"/>
    </row>
    <row r="60" spans="1:11">
      <c r="B60" s="58" t="s">
        <v>267</v>
      </c>
      <c r="C60" s="52" t="s">
        <v>248</v>
      </c>
      <c r="D60" s="52" t="s">
        <v>268</v>
      </c>
      <c r="E60" s="52" t="s">
        <v>269</v>
      </c>
      <c r="F60" s="52" t="s">
        <v>244</v>
      </c>
      <c r="G60" s="52">
        <v>6</v>
      </c>
      <c r="H60" s="52" t="s">
        <v>270</v>
      </c>
      <c r="I60" s="52" t="s">
        <v>178</v>
      </c>
      <c r="J60" s="52" t="s">
        <v>271</v>
      </c>
      <c r="K60" s="52"/>
    </row>
    <row r="61" spans="1:11">
      <c r="B61" s="57" t="s">
        <v>272</v>
      </c>
      <c r="C61" s="138" t="s">
        <v>248</v>
      </c>
      <c r="D61" s="138" t="s">
        <v>273</v>
      </c>
      <c r="E61" s="138"/>
      <c r="F61" s="138" t="s">
        <v>244</v>
      </c>
      <c r="G61" s="138">
        <v>6</v>
      </c>
      <c r="H61" s="138" t="s">
        <v>161</v>
      </c>
      <c r="I61" s="138" t="s">
        <v>260</v>
      </c>
      <c r="J61" s="138" t="s">
        <v>274</v>
      </c>
      <c r="K61" s="138"/>
    </row>
  </sheetData>
  <mergeCells count="69">
    <mergeCell ref="B49:B51"/>
    <mergeCell ref="C49:C51"/>
    <mergeCell ref="F49:F51"/>
    <mergeCell ref="D49:D51"/>
    <mergeCell ref="F7:F9"/>
    <mergeCell ref="B7:B9"/>
    <mergeCell ref="C7:C9"/>
    <mergeCell ref="D7:D9"/>
    <mergeCell ref="E7:E9"/>
    <mergeCell ref="B11:B13"/>
    <mergeCell ref="C11:C13"/>
    <mergeCell ref="D11:D13"/>
    <mergeCell ref="E11:E13"/>
    <mergeCell ref="F11:F13"/>
    <mergeCell ref="C14:C16"/>
    <mergeCell ref="D14:D16"/>
    <mergeCell ref="E14:E16"/>
    <mergeCell ref="F14:F16"/>
    <mergeCell ref="B14:B16"/>
    <mergeCell ref="B17:B19"/>
    <mergeCell ref="C17:C19"/>
    <mergeCell ref="D17:D19"/>
    <mergeCell ref="E17:E19"/>
    <mergeCell ref="F17:F19"/>
    <mergeCell ref="B20:B22"/>
    <mergeCell ref="C20:C22"/>
    <mergeCell ref="D20:D22"/>
    <mergeCell ref="E20:E22"/>
    <mergeCell ref="F20:F22"/>
    <mergeCell ref="B25:B27"/>
    <mergeCell ref="C25:C27"/>
    <mergeCell ref="D25:D27"/>
    <mergeCell ref="E25:E27"/>
    <mergeCell ref="F25:F27"/>
    <mergeCell ref="B23:B24"/>
    <mergeCell ref="C23:C24"/>
    <mergeCell ref="D23:D24"/>
    <mergeCell ref="E23:E24"/>
    <mergeCell ref="F23:F24"/>
    <mergeCell ref="B52:B55"/>
    <mergeCell ref="C52:C55"/>
    <mergeCell ref="D52:D55"/>
    <mergeCell ref="F52:F55"/>
    <mergeCell ref="E52:E55"/>
    <mergeCell ref="B32:B34"/>
    <mergeCell ref="C32:C34"/>
    <mergeCell ref="D32:D34"/>
    <mergeCell ref="E32:E34"/>
    <mergeCell ref="F32:F34"/>
    <mergeCell ref="B35:B37"/>
    <mergeCell ref="C35:C37"/>
    <mergeCell ref="D35:D37"/>
    <mergeCell ref="E35:E37"/>
    <mergeCell ref="F35:F37"/>
    <mergeCell ref="B38:B40"/>
    <mergeCell ref="C38:C40"/>
    <mergeCell ref="D38:D40"/>
    <mergeCell ref="E38:E40"/>
    <mergeCell ref="F38:F40"/>
    <mergeCell ref="B41:B43"/>
    <mergeCell ref="C41:C43"/>
    <mergeCell ref="D41:D43"/>
    <mergeCell ref="E41:E43"/>
    <mergeCell ref="F41:F43"/>
    <mergeCell ref="B44:B46"/>
    <mergeCell ref="C44:C46"/>
    <mergeCell ref="D44:D46"/>
    <mergeCell ref="E44:E46"/>
    <mergeCell ref="F44:F4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30916-E5E4-44C7-BA23-8574CD658250}">
  <dimension ref="A2:J39"/>
  <sheetViews>
    <sheetView topLeftCell="A12" workbookViewId="0">
      <selection activeCell="A25" sqref="A25"/>
    </sheetView>
  </sheetViews>
  <sheetFormatPr defaultColWidth="11.42578125" defaultRowHeight="14.45"/>
  <cols>
    <col min="2" max="2" width="16.140625" customWidth="1"/>
    <col min="3" max="3" width="18.7109375" bestFit="1" customWidth="1"/>
    <col min="4" max="4" width="6.5703125" bestFit="1" customWidth="1"/>
    <col min="5" max="5" width="36.85546875" customWidth="1"/>
    <col min="6" max="6" width="31.5703125" customWidth="1"/>
    <col min="7" max="7" width="41.5703125" customWidth="1"/>
    <col min="8" max="8" width="26.140625" customWidth="1"/>
    <col min="9" max="9" width="27.42578125" customWidth="1"/>
    <col min="10" max="10" width="30.5703125" customWidth="1"/>
    <col min="11" max="14" width="11.28515625" customWidth="1"/>
  </cols>
  <sheetData>
    <row r="2" spans="1:10" ht="27.75" customHeight="1">
      <c r="B2" s="22" t="s">
        <v>275</v>
      </c>
      <c r="C2" s="22" t="s">
        <v>276</v>
      </c>
      <c r="D2" s="22" t="s">
        <v>277</v>
      </c>
      <c r="E2" s="22" t="s">
        <v>278</v>
      </c>
      <c r="F2" s="22" t="s">
        <v>279</v>
      </c>
      <c r="G2" s="22" t="s">
        <v>280</v>
      </c>
      <c r="H2" s="22" t="s">
        <v>281</v>
      </c>
      <c r="I2" s="22" t="s">
        <v>282</v>
      </c>
      <c r="J2" s="22" t="s">
        <v>283</v>
      </c>
    </row>
    <row r="3" spans="1:10" ht="27.75" customHeight="1">
      <c r="B3" s="22" t="s">
        <v>284</v>
      </c>
      <c r="C3" s="22" t="s">
        <v>285</v>
      </c>
      <c r="D3" s="22">
        <v>1981</v>
      </c>
      <c r="E3" s="22" t="s">
        <v>286</v>
      </c>
      <c r="F3" s="22" t="s">
        <v>287</v>
      </c>
      <c r="G3" s="22" t="s">
        <v>288</v>
      </c>
      <c r="H3" s="22" t="s">
        <v>289</v>
      </c>
      <c r="I3" s="22" t="s">
        <v>286</v>
      </c>
      <c r="J3" s="22" t="s">
        <v>290</v>
      </c>
    </row>
    <row r="4" spans="1:10" ht="27.75" customHeight="1">
      <c r="B4" s="22" t="s">
        <v>291</v>
      </c>
      <c r="C4" s="22" t="s">
        <v>292</v>
      </c>
      <c r="D4" s="22">
        <v>1988</v>
      </c>
      <c r="E4" s="22" t="s">
        <v>286</v>
      </c>
      <c r="F4" s="22" t="s">
        <v>293</v>
      </c>
      <c r="G4" s="22" t="s">
        <v>294</v>
      </c>
      <c r="H4" s="22" t="s">
        <v>295</v>
      </c>
      <c r="I4" s="22" t="s">
        <v>286</v>
      </c>
      <c r="J4" s="22" t="s">
        <v>286</v>
      </c>
    </row>
    <row r="5" spans="1:10" ht="27.75" customHeight="1">
      <c r="B5" s="22" t="s">
        <v>296</v>
      </c>
      <c r="C5" s="22" t="s">
        <v>297</v>
      </c>
      <c r="D5" s="22">
        <v>2002</v>
      </c>
      <c r="E5" s="22" t="s">
        <v>286</v>
      </c>
      <c r="F5" s="22" t="s">
        <v>298</v>
      </c>
      <c r="G5" s="22" t="s">
        <v>299</v>
      </c>
      <c r="H5" s="22" t="s">
        <v>295</v>
      </c>
      <c r="I5" s="22" t="s">
        <v>286</v>
      </c>
      <c r="J5" s="22" t="s">
        <v>286</v>
      </c>
    </row>
    <row r="6" spans="1:10" ht="27.75" customHeight="1">
      <c r="A6" s="115"/>
      <c r="B6" s="22" t="s">
        <v>300</v>
      </c>
      <c r="C6" s="22" t="s">
        <v>301</v>
      </c>
      <c r="D6" s="22">
        <v>2003</v>
      </c>
      <c r="E6" s="22" t="s">
        <v>286</v>
      </c>
      <c r="F6" s="22" t="s">
        <v>293</v>
      </c>
      <c r="G6" s="22" t="s">
        <v>302</v>
      </c>
      <c r="H6" s="22" t="s">
        <v>295</v>
      </c>
      <c r="I6" s="22" t="s">
        <v>286</v>
      </c>
      <c r="J6" s="22" t="s">
        <v>303</v>
      </c>
    </row>
    <row r="7" spans="1:10" ht="27.75" customHeight="1">
      <c r="B7" s="22" t="s">
        <v>304</v>
      </c>
      <c r="C7" s="22" t="s">
        <v>301</v>
      </c>
      <c r="D7" s="22">
        <v>2004</v>
      </c>
      <c r="E7" s="22" t="s">
        <v>286</v>
      </c>
      <c r="F7" s="22" t="s">
        <v>293</v>
      </c>
      <c r="G7" s="22" t="s">
        <v>302</v>
      </c>
      <c r="H7" s="22" t="s">
        <v>295</v>
      </c>
      <c r="I7" s="22" t="s">
        <v>286</v>
      </c>
      <c r="J7" s="22" t="s">
        <v>305</v>
      </c>
    </row>
    <row r="8" spans="1:10" ht="27.75" customHeight="1">
      <c r="A8" s="115"/>
      <c r="B8" s="34" t="s">
        <v>306</v>
      </c>
      <c r="C8" s="34" t="s">
        <v>307</v>
      </c>
      <c r="D8" s="34">
        <v>2004</v>
      </c>
      <c r="E8" s="34" t="s">
        <v>286</v>
      </c>
      <c r="F8" s="34" t="s">
        <v>293</v>
      </c>
      <c r="G8" s="34" t="s">
        <v>308</v>
      </c>
      <c r="H8" s="34" t="s">
        <v>309</v>
      </c>
      <c r="I8" s="34" t="s">
        <v>310</v>
      </c>
      <c r="J8" s="34" t="s">
        <v>311</v>
      </c>
    </row>
    <row r="9" spans="1:10" ht="27.75" customHeight="1">
      <c r="A9" s="115"/>
      <c r="B9" s="22" t="s">
        <v>312</v>
      </c>
      <c r="C9" s="22" t="s">
        <v>313</v>
      </c>
      <c r="D9" s="22">
        <v>2005</v>
      </c>
      <c r="E9" s="22" t="s">
        <v>286</v>
      </c>
      <c r="F9" s="22" t="s">
        <v>293</v>
      </c>
      <c r="G9" s="22" t="s">
        <v>314</v>
      </c>
      <c r="H9" s="22" t="s">
        <v>295</v>
      </c>
      <c r="I9" s="22" t="s">
        <v>286</v>
      </c>
      <c r="J9" s="22" t="s">
        <v>286</v>
      </c>
    </row>
    <row r="10" spans="1:10" ht="27.75" customHeight="1">
      <c r="B10" s="22" t="s">
        <v>315</v>
      </c>
      <c r="C10" s="22" t="s">
        <v>316</v>
      </c>
      <c r="D10" s="22">
        <v>2006</v>
      </c>
      <c r="E10" s="22" t="s">
        <v>317</v>
      </c>
      <c r="F10" s="22" t="s">
        <v>318</v>
      </c>
      <c r="G10" s="22" t="s">
        <v>319</v>
      </c>
      <c r="H10" s="22" t="s">
        <v>295</v>
      </c>
      <c r="I10" s="22" t="s">
        <v>320</v>
      </c>
      <c r="J10" s="22" t="s">
        <v>321</v>
      </c>
    </row>
    <row r="11" spans="1:10" ht="27.75" customHeight="1">
      <c r="B11" s="22" t="s">
        <v>322</v>
      </c>
      <c r="C11" s="22" t="s">
        <v>323</v>
      </c>
      <c r="D11" s="22">
        <v>2006</v>
      </c>
      <c r="E11" s="22" t="s">
        <v>324</v>
      </c>
      <c r="F11" s="22" t="s">
        <v>293</v>
      </c>
      <c r="G11" s="22" t="s">
        <v>325</v>
      </c>
      <c r="H11" s="22" t="s">
        <v>326</v>
      </c>
      <c r="I11" s="22" t="s">
        <v>286</v>
      </c>
      <c r="J11" s="22" t="s">
        <v>286</v>
      </c>
    </row>
    <row r="12" spans="1:10" ht="27.75" customHeight="1">
      <c r="B12" s="22" t="s">
        <v>327</v>
      </c>
      <c r="C12" s="22" t="s">
        <v>328</v>
      </c>
      <c r="D12" s="22">
        <v>2007</v>
      </c>
      <c r="E12" s="22" t="s">
        <v>286</v>
      </c>
      <c r="F12" s="22" t="s">
        <v>329</v>
      </c>
      <c r="G12" s="22" t="s">
        <v>330</v>
      </c>
      <c r="H12" s="22" t="s">
        <v>326</v>
      </c>
      <c r="I12" s="22" t="s">
        <v>331</v>
      </c>
      <c r="J12" s="22" t="s">
        <v>332</v>
      </c>
    </row>
    <row r="13" spans="1:10" ht="27.75" customHeight="1">
      <c r="B13" s="22" t="s">
        <v>333</v>
      </c>
      <c r="C13" s="22" t="s">
        <v>334</v>
      </c>
      <c r="D13" s="22">
        <v>2008</v>
      </c>
      <c r="E13" s="22" t="s">
        <v>286</v>
      </c>
      <c r="F13" s="22" t="s">
        <v>335</v>
      </c>
      <c r="G13" s="22" t="s">
        <v>336</v>
      </c>
      <c r="H13" s="22" t="s">
        <v>70</v>
      </c>
      <c r="I13" s="22" t="s">
        <v>337</v>
      </c>
      <c r="J13" s="22" t="s">
        <v>338</v>
      </c>
    </row>
    <row r="14" spans="1:10" ht="27.75" customHeight="1">
      <c r="B14" s="22" t="s">
        <v>339</v>
      </c>
      <c r="C14" s="22" t="s">
        <v>340</v>
      </c>
      <c r="D14" s="22">
        <v>2010</v>
      </c>
      <c r="E14" s="22" t="s">
        <v>341</v>
      </c>
      <c r="F14" s="22" t="s">
        <v>293</v>
      </c>
      <c r="G14" s="22" t="s">
        <v>342</v>
      </c>
      <c r="H14" s="22" t="s">
        <v>295</v>
      </c>
      <c r="I14" s="22" t="s">
        <v>286</v>
      </c>
      <c r="J14" s="22" t="s">
        <v>286</v>
      </c>
    </row>
    <row r="15" spans="1:10" ht="27.75" customHeight="1">
      <c r="B15" s="22" t="s">
        <v>343</v>
      </c>
      <c r="C15" s="22" t="s">
        <v>344</v>
      </c>
      <c r="D15" s="22">
        <v>2011</v>
      </c>
      <c r="E15" s="22" t="s">
        <v>345</v>
      </c>
      <c r="F15" s="22" t="s">
        <v>346</v>
      </c>
      <c r="G15" s="22" t="s">
        <v>347</v>
      </c>
      <c r="H15" s="22" t="s">
        <v>295</v>
      </c>
      <c r="I15" s="22" t="s">
        <v>286</v>
      </c>
      <c r="J15" s="22" t="s">
        <v>332</v>
      </c>
    </row>
    <row r="16" spans="1:10" ht="27.75" customHeight="1">
      <c r="B16" s="22" t="s">
        <v>348</v>
      </c>
      <c r="C16" s="22" t="s">
        <v>349</v>
      </c>
      <c r="D16" s="22">
        <v>2011</v>
      </c>
      <c r="E16" s="22" t="s">
        <v>350</v>
      </c>
      <c r="F16" s="22" t="s">
        <v>351</v>
      </c>
      <c r="G16" s="22" t="s">
        <v>352</v>
      </c>
      <c r="H16" s="22" t="s">
        <v>295</v>
      </c>
      <c r="I16" s="22" t="s">
        <v>353</v>
      </c>
      <c r="J16" s="22" t="s">
        <v>354</v>
      </c>
    </row>
    <row r="17" spans="1:10" ht="27.75" customHeight="1">
      <c r="B17" s="22" t="s">
        <v>355</v>
      </c>
      <c r="C17" s="22" t="s">
        <v>356</v>
      </c>
      <c r="D17" s="22">
        <v>2012</v>
      </c>
      <c r="E17" s="22" t="s">
        <v>357</v>
      </c>
      <c r="F17" s="22" t="s">
        <v>293</v>
      </c>
      <c r="G17" s="22" t="s">
        <v>299</v>
      </c>
      <c r="H17" s="22" t="s">
        <v>358</v>
      </c>
      <c r="I17" s="22" t="s">
        <v>359</v>
      </c>
      <c r="J17" s="22" t="s">
        <v>360</v>
      </c>
    </row>
    <row r="18" spans="1:10" ht="27.75" customHeight="1">
      <c r="B18" s="22" t="s">
        <v>361</v>
      </c>
      <c r="C18" s="22" t="s">
        <v>334</v>
      </c>
      <c r="D18" s="22">
        <v>2012</v>
      </c>
      <c r="E18" s="22" t="s">
        <v>362</v>
      </c>
      <c r="F18" s="22" t="s">
        <v>363</v>
      </c>
      <c r="G18" s="22" t="s">
        <v>364</v>
      </c>
      <c r="H18" s="22" t="s">
        <v>295</v>
      </c>
      <c r="I18" s="22" t="s">
        <v>286</v>
      </c>
      <c r="J18" s="22" t="s">
        <v>286</v>
      </c>
    </row>
    <row r="19" spans="1:10" ht="27.75" customHeight="1">
      <c r="B19" s="22" t="s">
        <v>365</v>
      </c>
      <c r="C19" s="22" t="s">
        <v>366</v>
      </c>
      <c r="D19" s="22">
        <v>2013</v>
      </c>
      <c r="E19" s="22" t="s">
        <v>286</v>
      </c>
      <c r="F19" s="22" t="s">
        <v>367</v>
      </c>
      <c r="G19" s="22" t="s">
        <v>299</v>
      </c>
      <c r="H19" s="22" t="s">
        <v>368</v>
      </c>
      <c r="I19" s="22" t="s">
        <v>286</v>
      </c>
      <c r="J19" s="22" t="s">
        <v>286</v>
      </c>
    </row>
    <row r="20" spans="1:10" ht="27.75" customHeight="1">
      <c r="B20" s="22" t="s">
        <v>369</v>
      </c>
      <c r="C20" s="22" t="s">
        <v>370</v>
      </c>
      <c r="D20" s="22">
        <v>2014</v>
      </c>
      <c r="E20" s="22" t="s">
        <v>371</v>
      </c>
      <c r="F20" s="22" t="s">
        <v>372</v>
      </c>
      <c r="G20" s="22" t="s">
        <v>373</v>
      </c>
      <c r="H20" s="22" t="s">
        <v>374</v>
      </c>
      <c r="I20" s="22" t="s">
        <v>286</v>
      </c>
      <c r="J20" s="22" t="s">
        <v>375</v>
      </c>
    </row>
    <row r="21" spans="1:10" ht="27.75" customHeight="1">
      <c r="B21" s="22" t="s">
        <v>376</v>
      </c>
      <c r="C21" s="22" t="s">
        <v>377</v>
      </c>
      <c r="D21" s="22">
        <v>2014</v>
      </c>
      <c r="E21" s="22" t="s">
        <v>378</v>
      </c>
      <c r="F21" s="22" t="s">
        <v>379</v>
      </c>
      <c r="G21" s="22" t="s">
        <v>299</v>
      </c>
      <c r="H21" s="22" t="s">
        <v>358</v>
      </c>
      <c r="I21" s="22" t="s">
        <v>332</v>
      </c>
      <c r="J21" s="22" t="s">
        <v>332</v>
      </c>
    </row>
    <row r="22" spans="1:10" ht="27.75" customHeight="1">
      <c r="B22" s="22" t="s">
        <v>380</v>
      </c>
      <c r="C22" s="22" t="s">
        <v>381</v>
      </c>
      <c r="D22" s="22">
        <v>2014</v>
      </c>
      <c r="E22" s="22" t="s">
        <v>382</v>
      </c>
      <c r="F22" s="22" t="s">
        <v>383</v>
      </c>
      <c r="G22" s="22" t="s">
        <v>384</v>
      </c>
      <c r="H22" s="22" t="s">
        <v>295</v>
      </c>
      <c r="I22" s="22" t="s">
        <v>286</v>
      </c>
      <c r="J22" s="22" t="s">
        <v>286</v>
      </c>
    </row>
    <row r="23" spans="1:10" ht="27.75" customHeight="1">
      <c r="A23" s="115"/>
      <c r="B23" s="34" t="s">
        <v>385</v>
      </c>
      <c r="C23" s="34" t="s">
        <v>386</v>
      </c>
      <c r="D23" s="34">
        <v>2015</v>
      </c>
      <c r="E23" s="34" t="s">
        <v>387</v>
      </c>
      <c r="F23" s="34" t="s">
        <v>383</v>
      </c>
      <c r="G23" s="34" t="s">
        <v>384</v>
      </c>
      <c r="H23" s="34" t="s">
        <v>295</v>
      </c>
      <c r="I23" s="34" t="s">
        <v>286</v>
      </c>
      <c r="J23" s="34" t="s">
        <v>286</v>
      </c>
    </row>
    <row r="24" spans="1:10" ht="27.75" customHeight="1">
      <c r="B24" s="34" t="s">
        <v>388</v>
      </c>
      <c r="C24" s="34" t="s">
        <v>389</v>
      </c>
      <c r="D24" s="34">
        <v>2015</v>
      </c>
      <c r="E24" s="34" t="s">
        <v>286</v>
      </c>
      <c r="F24" s="34" t="s">
        <v>293</v>
      </c>
      <c r="G24" s="34" t="s">
        <v>390</v>
      </c>
      <c r="H24" s="34" t="s">
        <v>295</v>
      </c>
      <c r="I24" s="34" t="s">
        <v>286</v>
      </c>
      <c r="J24" s="34" t="s">
        <v>391</v>
      </c>
    </row>
    <row r="25" spans="1:10" ht="27.75" customHeight="1">
      <c r="A25" s="115"/>
      <c r="B25" s="34" t="s">
        <v>392</v>
      </c>
      <c r="C25" s="34" t="s">
        <v>393</v>
      </c>
      <c r="D25" s="34">
        <v>2016</v>
      </c>
      <c r="E25" s="34" t="s">
        <v>286</v>
      </c>
      <c r="F25" s="34" t="s">
        <v>394</v>
      </c>
      <c r="G25" s="34" t="s">
        <v>395</v>
      </c>
      <c r="H25" s="34" t="s">
        <v>295</v>
      </c>
      <c r="I25" s="34" t="s">
        <v>286</v>
      </c>
      <c r="J25" s="34" t="s">
        <v>286</v>
      </c>
    </row>
    <row r="26" spans="1:10" ht="27.75" customHeight="1">
      <c r="B26" s="36" t="s">
        <v>396</v>
      </c>
      <c r="C26" s="36" t="s">
        <v>397</v>
      </c>
      <c r="D26" s="36">
        <v>2017</v>
      </c>
      <c r="E26" s="36" t="s">
        <v>332</v>
      </c>
      <c r="F26" s="36" t="s">
        <v>398</v>
      </c>
      <c r="G26" s="36" t="s">
        <v>347</v>
      </c>
      <c r="H26" s="36" t="s">
        <v>399</v>
      </c>
      <c r="I26" s="36" t="s">
        <v>332</v>
      </c>
      <c r="J26" s="36" t="s">
        <v>332</v>
      </c>
    </row>
    <row r="27" spans="1:10" ht="27.75" customHeight="1">
      <c r="B27" s="34" t="s">
        <v>400</v>
      </c>
      <c r="C27" s="34" t="s">
        <v>401</v>
      </c>
      <c r="D27" s="34">
        <v>2019</v>
      </c>
      <c r="E27" s="34" t="s">
        <v>286</v>
      </c>
      <c r="F27" s="34" t="s">
        <v>293</v>
      </c>
      <c r="G27" s="34" t="s">
        <v>402</v>
      </c>
      <c r="H27" s="34" t="s">
        <v>295</v>
      </c>
      <c r="I27" s="34" t="s">
        <v>286</v>
      </c>
      <c r="J27" s="34" t="s">
        <v>286</v>
      </c>
    </row>
    <row r="28" spans="1:10" ht="27.75" customHeight="1">
      <c r="B28" s="34" t="s">
        <v>403</v>
      </c>
      <c r="C28" s="34" t="s">
        <v>404</v>
      </c>
      <c r="D28" s="34">
        <v>2019</v>
      </c>
      <c r="E28" s="34" t="s">
        <v>286</v>
      </c>
      <c r="F28" s="34" t="s">
        <v>293</v>
      </c>
      <c r="G28" s="34" t="s">
        <v>405</v>
      </c>
      <c r="H28" s="34" t="s">
        <v>406</v>
      </c>
      <c r="I28" s="34" t="s">
        <v>407</v>
      </c>
      <c r="J28" s="34" t="s">
        <v>408</v>
      </c>
    </row>
    <row r="29" spans="1:10" ht="27.75" customHeight="1">
      <c r="B29" s="34" t="s">
        <v>409</v>
      </c>
      <c r="C29" s="34" t="s">
        <v>410</v>
      </c>
      <c r="D29" s="34">
        <v>2022</v>
      </c>
      <c r="E29" s="34" t="s">
        <v>286</v>
      </c>
      <c r="F29" s="34" t="s">
        <v>411</v>
      </c>
      <c r="G29" s="34" t="s">
        <v>405</v>
      </c>
      <c r="H29" s="34" t="s">
        <v>326</v>
      </c>
      <c r="I29" s="34" t="s">
        <v>286</v>
      </c>
      <c r="J29" s="34" t="s">
        <v>286</v>
      </c>
    </row>
    <row r="30" spans="1:10" ht="27.75" customHeight="1">
      <c r="B30" s="34" t="s">
        <v>412</v>
      </c>
      <c r="C30" s="34" t="s">
        <v>413</v>
      </c>
      <c r="D30" s="34">
        <v>2024</v>
      </c>
      <c r="E30" s="34" t="s">
        <v>286</v>
      </c>
      <c r="F30" s="34" t="s">
        <v>293</v>
      </c>
      <c r="G30" s="34" t="s">
        <v>414</v>
      </c>
      <c r="H30" s="34" t="s">
        <v>415</v>
      </c>
      <c r="I30" s="34" t="s">
        <v>286</v>
      </c>
      <c r="J30" s="34" t="s">
        <v>286</v>
      </c>
    </row>
    <row r="31" spans="1:10" ht="27.75" customHeight="1"/>
    <row r="32" spans="1:10" ht="27.75" customHeight="1"/>
    <row r="33" ht="27.75" customHeight="1"/>
    <row r="34" ht="27.75" customHeight="1"/>
    <row r="35" ht="27.75" customHeight="1"/>
    <row r="36" ht="27.75" customHeight="1"/>
    <row r="37" ht="27.75" customHeight="1"/>
    <row r="38" ht="27.75" customHeight="1"/>
    <row r="39" ht="27.75" customHeight="1"/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EE2C5B2-6C51-45C3-BB85-60B6D65DC0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Jorge Rosas</dc:creator>
  <cp:keywords/>
  <dc:description/>
  <cp:lastModifiedBy>Jorge Rosas</cp:lastModifiedBy>
  <cp:revision/>
  <dcterms:created xsi:type="dcterms:W3CDTF">2025-08-26T17:53:44Z</dcterms:created>
  <dcterms:modified xsi:type="dcterms:W3CDTF">2025-10-26T00:07:49Z</dcterms:modified>
  <cp:category/>
  <cp:contentStatus/>
</cp:coreProperties>
</file>
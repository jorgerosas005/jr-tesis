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f62e7abab5a1e07/Facultad de Química/Titulación/jr-tesis/"/>
    </mc:Choice>
  </mc:AlternateContent>
  <xr:revisionPtr revIDLastSave="369" documentId="8_{E33501D9-86D2-43E6-AD17-6A1492C263AF}" xr6:coauthVersionLast="47" xr6:coauthVersionMax="47" xr10:uidLastSave="{EB1013F2-6032-4D63-8F23-6287883BB8A6}"/>
  <bookViews>
    <workbookView xWindow="-110" yWindow="-110" windowWidth="19420" windowHeight="12220" activeTab="2" xr2:uid="{F197E1E3-6026-4ADE-B6DB-F8AFBB1F36F8}"/>
  </bookViews>
  <sheets>
    <sheet name="Hoja1" sheetId="1" r:id="rId1"/>
    <sheet name="Hoja2" sheetId="2" r:id="rId2"/>
    <sheet name="Hoja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3" i="2"/>
  <c r="D13" i="2"/>
  <c r="C13" i="2"/>
  <c r="C10" i="2"/>
  <c r="C8" i="2"/>
  <c r="C6" i="2"/>
  <c r="C4" i="2"/>
  <c r="C3" i="2"/>
  <c r="C2" i="2"/>
</calcChain>
</file>

<file path=xl/sharedStrings.xml><?xml version="1.0" encoding="utf-8"?>
<sst xmlns="http://schemas.openxmlformats.org/spreadsheetml/2006/main" count="140" uniqueCount="102">
  <si>
    <t>Metanol Teróricos</t>
  </si>
  <si>
    <t>Metanol Experimentales</t>
  </si>
  <si>
    <t>Ref.</t>
  </si>
  <si>
    <t>Técnica</t>
  </si>
  <si>
    <t xml:space="preserve">NC </t>
  </si>
  <si>
    <t>Cu-O$*{eq}$ (Å)</t>
  </si>
  <si>
    <t>Cu-O$*{ax}$ (Å)</t>
  </si>
  <si>
    <t>Geometría</t>
  </si>
  <si>
    <t>Cu-O$*{eq}_2$ (Å)</t>
  </si>
  <si>
    <t>Cu-O$*{ax}_1$ (Å)</t>
  </si>
  <si>
    <t>Cu-O$*{ax}_2$ (Å)</t>
  </si>
  <si>
    <t>\cite{Me-2022-01}</t>
  </si>
  <si>
    <t>MP2 (fase gas)
n = 8</t>
  </si>
  <si>
    <t>\cite{Me-1980-01}</t>
  </si>
  <si>
    <t>Análisis de eco de 
espín electrónico</t>
  </si>
  <si>
    <t>octaédrica</t>
  </si>
  <si>
    <t>\cite{Me-1986-01}</t>
  </si>
  <si>
    <t>Oxygen-17 NMR</t>
  </si>
  <si>
    <t>\cite{Me-1999-01}</t>
  </si>
  <si>
    <t>EXAFS</t>
  </si>
  <si>
    <t>1.97 ± 0.01</t>
  </si>
  <si>
    <t>\cite{Me-2023-01}</t>
  </si>
  <si>
    <t>M06-2X (fase gas)
n = 8</t>
  </si>
  <si>
    <t>\cite{Me-2012-01}</t>
  </si>
  <si>
    <t>1.96 ± 0.01</t>
  </si>
  <si>
    <t>2.28 ± 0.02</t>
  </si>
  <si>
    <t>2.32 ± 0.02</t>
  </si>
  <si>
    <t>XANES</t>
  </si>
  <si>
    <t>tetraédrica</t>
  </si>
  <si>
    <t>1.99 ± 0.02</t>
  </si>
  <si>
    <t>\cite{Me-2023-02}</t>
  </si>
  <si>
    <t>M06-2X + IEF-PCM
n = 8</t>
  </si>
  <si>
    <t>cuadrangular
 plana</t>
  </si>
  <si>
    <t>2.00 ± 0.02</t>
  </si>
  <si>
    <t>1.95 ± 0.02</t>
  </si>
  <si>
    <t>2.01 ± 0.02</t>
  </si>
  <si>
    <t>2.23 ± 0.05</t>
  </si>
  <si>
    <t>2.23 ± 0.04</t>
  </si>
  <si>
    <t>\cite{Me-2025-02}</t>
  </si>
  <si>
    <t>M06-2X (fase gas)
n = 10</t>
  </si>
  <si>
    <t>\cite{Wa-2020-01}</t>
  </si>
  <si>
    <t>octaédrica
 distorsionada</t>
  </si>
  <si>
    <t>1.975 ± 0.003</t>
  </si>
  <si>
    <t>2.202 ± 0.008</t>
  </si>
  <si>
    <t>2.34 ± 0.01</t>
  </si>
  <si>
    <t>M06-2X + IEF-PCM
n = 10</t>
  </si>
  <si>
    <t>2.14 ± 0.02</t>
  </si>
  <si>
    <t>\cite{Wa-2018-02}</t>
  </si>
  <si>
    <t>12 referencias experimentales</t>
  </si>
  <si>
    <t>16 referencias teóricas</t>
  </si>
  <si>
    <t xml:space="preserve">Correcciones </t>
  </si>
  <si>
    <t>Segndo capítulo</t>
  </si>
  <si>
    <t xml:space="preserve">Tercer capítulo </t>
  </si>
  <si>
    <t xml:space="preserve">Resultados </t>
  </si>
  <si>
    <t>MXAN</t>
  </si>
  <si>
    <t>Asimétrica axial</t>
  </si>
  <si>
    <t>Pirámide cuadrada</t>
  </si>
  <si>
    <t>\cite{Wa-2015-01}</t>
  </si>
  <si>
    <t>5 + 1</t>
  </si>
  <si>
    <t>2.23 ± 0.11</t>
  </si>
  <si>
    <t>Fase</t>
  </si>
  <si>
    <t>Solución acuosa</t>
  </si>
  <si>
    <t>Solución congelada</t>
  </si>
  <si>
    <t>1.94 ± 0.02</t>
  </si>
  <si>
    <t>2.06 ± 0.07</t>
  </si>
  <si>
    <t>2.99 ± 0.22</t>
  </si>
  <si>
    <t>1.97 ± 0.02</t>
  </si>
  <si>
    <t>2.44 ± 0.13</t>
  </si>
  <si>
    <t>3.0 ± 0.1</t>
  </si>
  <si>
    <t>2.22
2.24</t>
  </si>
  <si>
    <t>2.37
2.38</t>
  </si>
  <si>
    <t>Vidrios acuosos congelados
 (con 2 agente vitrificantes)</t>
  </si>
  <si>
    <t>1.95 ± 0.01
1.95 ± 0.01</t>
  </si>
  <si>
    <t>1.95 ± 0.01
1.94 ± 0.01</t>
  </si>
  <si>
    <t>2.23 ± 0.08
2.24 ± 0.06</t>
  </si>
  <si>
    <t>1.93 ± 0.03
2.14 ± 0.11</t>
  </si>
  <si>
    <t>2.22 ± 0.04
2.28 ± 0.10</t>
  </si>
  <si>
    <t>1.957 ± 0.003</t>
  </si>
  <si>
    <t>\cite{Wa-2013-01}</t>
  </si>
  <si>
    <t>Dispersión de neutrones
Dispersión de rayos X
EXAFS
EPSR</t>
  </si>
  <si>
    <t>Solución acuosa
Dos soluciones</t>
  </si>
  <si>
    <t>4.1 ± 0.3
4.5 ± 0.6</t>
  </si>
  <si>
    <t>Tetraédrica
Trigonal bipiramidal
Octaédrica distorsionada</t>
  </si>
  <si>
    <t>\cite{Wa-2009-02}</t>
  </si>
  <si>
    <t>Análisis estructural por rayos X</t>
  </si>
  <si>
    <t>Octaédrica
 distorsionada</t>
  </si>
  <si>
    <t>2.10 - 2.30</t>
  </si>
  <si>
    <t>\cite{Wa-2005-01}</t>
  </si>
  <si>
    <t>MXAN / XAS
DFT / B(38HF)P86</t>
  </si>
  <si>
    <t>Distorsión D_{2d}</t>
  </si>
  <si>
    <t>1.96 ± 0.02</t>
  </si>
  <si>
    <t>Pirámide cuadrada C_{2v}</t>
  </si>
  <si>
    <t>1.98 ± 0.03</t>
  </si>
  <si>
    <t>1.95 ± 0.03</t>
  </si>
  <si>
    <t>2.35 ± 0.05</t>
  </si>
  <si>
    <t>Experimetnales e híbridos</t>
  </si>
  <si>
    <t>\cite{Wa-2002-01}</t>
  </si>
  <si>
    <t>XANES / MXAN /XAS</t>
  </si>
  <si>
    <t>2.39 ± 0.06</t>
  </si>
  <si>
    <t>\cite{Wa-2001-01}</t>
  </si>
  <si>
    <t>Difracción de neutrones
CPMD /  BYLP</t>
  </si>
  <si>
    <t>Pirámide cuadrada
Bipirámide trigonal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</si>
</sst>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B9950-D0E3-4B8B-8D6E-CF1EEE847A0B}">
  <dimension ref="A2:P30"/>
  <sheetViews>
    <sheetView topLeftCell="P1" zoomScale="95" zoomScaleNormal="115" workbookViewId="0">
      <selection activeCell="R2" sqref="R2:Z10"/>
    </sheetView>
  </sheetViews>
  <sheetFormatPr baseColWidth="10" defaultColWidth="11.453125" defaultRowHeight="14.5" x14ac:dyDescent="0.35"/>
  <cols>
    <col min="1" max="1" width="25.1796875" style="2" customWidth="1"/>
    <col min="2" max="2" width="15.81640625" style="2" bestFit="1" customWidth="1"/>
    <col min="3" max="3" width="17.453125" style="2" bestFit="1" customWidth="1"/>
    <col min="4" max="4" width="3.54296875" style="2" bestFit="1" customWidth="1"/>
    <col min="5" max="5" width="18" style="2" customWidth="1"/>
    <col min="6" max="6" width="15.54296875" style="2" customWidth="1"/>
    <col min="7" max="7" width="25.1796875" style="2" customWidth="1"/>
    <col min="8" max="8" width="16.1796875" style="2" bestFit="1" customWidth="1"/>
    <col min="9" max="9" width="17" style="2" bestFit="1" customWidth="1"/>
    <col min="10" max="10" width="4" style="2" bestFit="1" customWidth="1"/>
    <col min="11" max="11" width="23.36328125" style="2" bestFit="1" customWidth="1"/>
    <col min="12" max="12" width="19.26953125" style="2" customWidth="1"/>
    <col min="13" max="13" width="14.453125" style="2" bestFit="1" customWidth="1"/>
    <col min="14" max="14" width="16.453125" style="2" bestFit="1" customWidth="1"/>
    <col min="15" max="15" width="16.26953125" style="2" bestFit="1" customWidth="1"/>
    <col min="16" max="16" width="16.26953125" style="1" bestFit="1" customWidth="1"/>
  </cols>
  <sheetData>
    <row r="2" spans="2:16" ht="15" thickBot="1" x14ac:dyDescent="0.4">
      <c r="B2" s="13" t="s">
        <v>0</v>
      </c>
      <c r="C2" s="13"/>
      <c r="D2" s="13"/>
      <c r="E2" s="13"/>
      <c r="F2" s="13"/>
      <c r="H2" s="13" t="s">
        <v>1</v>
      </c>
      <c r="I2" s="13"/>
      <c r="J2" s="13"/>
      <c r="K2" s="13"/>
      <c r="L2" s="13"/>
      <c r="M2" s="13"/>
      <c r="N2" s="13"/>
      <c r="O2" s="13"/>
      <c r="P2" s="13"/>
    </row>
    <row r="3" spans="2:16" ht="15" thickBot="1" x14ac:dyDescent="0.4">
      <c r="B3" s="9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6"/>
      <c r="H3" s="9" t="s">
        <v>2</v>
      </c>
      <c r="I3" s="9" t="s">
        <v>3</v>
      </c>
      <c r="J3" s="9" t="s">
        <v>4</v>
      </c>
      <c r="K3" s="9"/>
      <c r="L3" s="11" t="s">
        <v>7</v>
      </c>
      <c r="M3" s="9" t="s">
        <v>5</v>
      </c>
      <c r="N3" s="9" t="s">
        <v>8</v>
      </c>
      <c r="O3" s="9" t="s">
        <v>9</v>
      </c>
      <c r="P3" s="9" t="s">
        <v>10</v>
      </c>
    </row>
    <row r="4" spans="2:16" ht="29.5" thickBot="1" x14ac:dyDescent="0.4">
      <c r="B4" s="15" t="s">
        <v>11</v>
      </c>
      <c r="C4" s="12" t="s">
        <v>12</v>
      </c>
      <c r="D4" s="9">
        <v>4</v>
      </c>
      <c r="E4" s="3">
        <v>1.94</v>
      </c>
      <c r="F4" s="11"/>
      <c r="G4" s="6"/>
      <c r="H4" s="11" t="s">
        <v>13</v>
      </c>
      <c r="I4" s="8" t="s">
        <v>14</v>
      </c>
      <c r="J4" s="11">
        <v>6</v>
      </c>
      <c r="K4" s="11"/>
      <c r="L4" s="11" t="s">
        <v>15</v>
      </c>
      <c r="M4" s="11"/>
      <c r="N4" s="11"/>
      <c r="O4" s="11"/>
      <c r="P4" s="7">
        <v>2.1</v>
      </c>
    </row>
    <row r="5" spans="2:16" ht="15" thickBot="1" x14ac:dyDescent="0.4">
      <c r="B5" s="16"/>
      <c r="C5" s="14"/>
      <c r="D5" s="11">
        <v>5</v>
      </c>
      <c r="E5" s="4">
        <v>1.99</v>
      </c>
      <c r="F5" s="10">
        <v>2.21</v>
      </c>
      <c r="G5" s="6"/>
      <c r="H5" s="11" t="s">
        <v>16</v>
      </c>
      <c r="I5" s="11" t="s">
        <v>17</v>
      </c>
      <c r="J5" s="11">
        <v>6</v>
      </c>
      <c r="K5" s="11"/>
      <c r="L5" s="11"/>
      <c r="M5" s="11"/>
      <c r="N5" s="11"/>
      <c r="O5" s="11"/>
      <c r="P5" s="7"/>
    </row>
    <row r="6" spans="2:16" ht="15" thickBot="1" x14ac:dyDescent="0.4">
      <c r="B6" s="17"/>
      <c r="C6" s="14"/>
      <c r="D6" s="11">
        <v>6</v>
      </c>
      <c r="E6" s="4">
        <v>2.0099999999999998</v>
      </c>
      <c r="F6" s="11">
        <v>2.27</v>
      </c>
      <c r="G6" s="6"/>
      <c r="H6" s="11" t="s">
        <v>18</v>
      </c>
      <c r="I6" s="11" t="s">
        <v>19</v>
      </c>
      <c r="J6" s="11">
        <v>3.8</v>
      </c>
      <c r="K6" s="11"/>
      <c r="L6" s="8"/>
      <c r="M6" s="11" t="s">
        <v>20</v>
      </c>
      <c r="N6" s="11"/>
      <c r="O6" s="11"/>
      <c r="P6" s="7"/>
    </row>
    <row r="7" spans="2:16" x14ac:dyDescent="0.35">
      <c r="B7" s="15" t="s">
        <v>21</v>
      </c>
      <c r="C7" s="12" t="s">
        <v>22</v>
      </c>
      <c r="D7" s="9">
        <v>4</v>
      </c>
      <c r="E7" s="4">
        <v>1.95</v>
      </c>
      <c r="F7" s="4"/>
      <c r="H7" s="15" t="s">
        <v>23</v>
      </c>
      <c r="I7" s="18" t="s">
        <v>19</v>
      </c>
      <c r="J7" s="11">
        <v>5</v>
      </c>
      <c r="K7" s="11"/>
      <c r="L7" s="11"/>
      <c r="M7" s="11" t="s">
        <v>24</v>
      </c>
      <c r="N7" s="11"/>
      <c r="O7" s="11" t="s">
        <v>25</v>
      </c>
      <c r="P7" s="11"/>
    </row>
    <row r="8" spans="2:16" x14ac:dyDescent="0.35">
      <c r="B8" s="16"/>
      <c r="C8" s="14"/>
      <c r="D8" s="11">
        <v>5</v>
      </c>
      <c r="E8" s="4">
        <v>2</v>
      </c>
      <c r="F8" s="4">
        <v>2.15</v>
      </c>
      <c r="H8" s="16"/>
      <c r="I8" s="19"/>
      <c r="J8" s="11">
        <v>6</v>
      </c>
      <c r="K8" s="11"/>
      <c r="L8" s="11"/>
      <c r="M8" s="11" t="s">
        <v>24</v>
      </c>
      <c r="N8" s="11"/>
      <c r="O8" s="11" t="s">
        <v>26</v>
      </c>
      <c r="P8" s="11"/>
    </row>
    <row r="9" spans="2:16" x14ac:dyDescent="0.35">
      <c r="B9" s="17"/>
      <c r="C9" s="14"/>
      <c r="D9" s="11">
        <v>6</v>
      </c>
      <c r="E9" s="4">
        <v>2.02</v>
      </c>
      <c r="F9" s="4">
        <v>2.2599999999999998</v>
      </c>
      <c r="H9" s="16"/>
      <c r="I9" s="18" t="s">
        <v>27</v>
      </c>
      <c r="J9" s="11">
        <v>4</v>
      </c>
      <c r="K9" s="11"/>
      <c r="L9" s="11" t="s">
        <v>28</v>
      </c>
      <c r="M9" s="11" t="s">
        <v>29</v>
      </c>
      <c r="N9" s="11" t="s">
        <v>29</v>
      </c>
      <c r="O9" s="11"/>
      <c r="P9" s="11"/>
    </row>
    <row r="10" spans="2:16" ht="29" x14ac:dyDescent="0.35">
      <c r="B10" s="15" t="s">
        <v>30</v>
      </c>
      <c r="C10" s="12" t="s">
        <v>31</v>
      </c>
      <c r="D10" s="9">
        <v>4</v>
      </c>
      <c r="E10" s="11">
        <v>1.97</v>
      </c>
      <c r="F10" s="11"/>
      <c r="H10" s="16"/>
      <c r="I10" s="20"/>
      <c r="J10" s="11">
        <v>4</v>
      </c>
      <c r="K10" s="11"/>
      <c r="L10" s="8" t="s">
        <v>32</v>
      </c>
      <c r="M10" s="11" t="s">
        <v>33</v>
      </c>
      <c r="N10" s="11" t="s">
        <v>33</v>
      </c>
      <c r="O10" s="11"/>
      <c r="P10" s="7"/>
    </row>
    <row r="11" spans="2:16" x14ac:dyDescent="0.35">
      <c r="B11" s="16"/>
      <c r="C11" s="14"/>
      <c r="D11" s="11">
        <v>5</v>
      </c>
      <c r="E11" s="11">
        <v>1.99</v>
      </c>
      <c r="F11" s="11">
        <v>2.16</v>
      </c>
      <c r="H11" s="16"/>
      <c r="I11" s="20"/>
      <c r="J11" s="11">
        <v>5</v>
      </c>
      <c r="K11" s="11"/>
      <c r="L11" s="11"/>
      <c r="M11" s="11" t="s">
        <v>34</v>
      </c>
      <c r="N11" s="11" t="s">
        <v>35</v>
      </c>
      <c r="O11" s="11" t="s">
        <v>36</v>
      </c>
      <c r="P11" s="7"/>
    </row>
    <row r="12" spans="2:16" x14ac:dyDescent="0.35">
      <c r="B12" s="17"/>
      <c r="C12" s="14"/>
      <c r="D12" s="11">
        <v>6</v>
      </c>
      <c r="E12" s="11">
        <v>2.02</v>
      </c>
      <c r="F12" s="11">
        <v>2.2400000000000002</v>
      </c>
      <c r="H12" s="17"/>
      <c r="I12" s="19"/>
      <c r="J12" s="11">
        <v>6</v>
      </c>
      <c r="K12" s="11"/>
      <c r="L12" s="11"/>
      <c r="M12" s="11" t="s">
        <v>34</v>
      </c>
      <c r="N12" s="11" t="s">
        <v>34</v>
      </c>
      <c r="O12" s="11" t="s">
        <v>37</v>
      </c>
      <c r="P12" s="7"/>
    </row>
    <row r="13" spans="2:16" ht="29" x14ac:dyDescent="0.35">
      <c r="B13" s="15" t="s">
        <v>38</v>
      </c>
      <c r="C13" s="12" t="s">
        <v>39</v>
      </c>
      <c r="D13" s="9">
        <v>4</v>
      </c>
      <c r="E13" s="11">
        <v>1.95</v>
      </c>
      <c r="F13" s="11"/>
      <c r="H13" s="9" t="s">
        <v>40</v>
      </c>
      <c r="I13" s="11" t="s">
        <v>19</v>
      </c>
      <c r="J13" s="11">
        <v>6</v>
      </c>
      <c r="K13" s="11"/>
      <c r="L13" s="8" t="s">
        <v>41</v>
      </c>
      <c r="M13" s="11" t="s">
        <v>42</v>
      </c>
      <c r="N13" s="11"/>
      <c r="O13" s="11" t="s">
        <v>43</v>
      </c>
      <c r="P13" s="7" t="s">
        <v>44</v>
      </c>
    </row>
    <row r="14" spans="2:16" x14ac:dyDescent="0.35">
      <c r="B14" s="16"/>
      <c r="C14" s="14"/>
      <c r="D14" s="11">
        <v>5</v>
      </c>
      <c r="E14" s="11">
        <v>1.99</v>
      </c>
      <c r="F14" s="11">
        <v>2.14</v>
      </c>
    </row>
    <row r="15" spans="2:16" x14ac:dyDescent="0.35">
      <c r="B15" s="16"/>
      <c r="C15" s="14"/>
      <c r="D15" s="11">
        <v>6</v>
      </c>
      <c r="E15" s="11">
        <v>2.02</v>
      </c>
      <c r="F15" s="11">
        <v>2.2599999999999998</v>
      </c>
    </row>
    <row r="16" spans="2:16" ht="15" customHeight="1" x14ac:dyDescent="0.35">
      <c r="B16" s="16"/>
      <c r="C16" s="12" t="s">
        <v>45</v>
      </c>
      <c r="D16" s="9">
        <v>4</v>
      </c>
      <c r="E16" s="11">
        <v>1.96</v>
      </c>
      <c r="F16" s="11"/>
    </row>
    <row r="17" spans="2:6" x14ac:dyDescent="0.35">
      <c r="B17" s="16"/>
      <c r="C17" s="14"/>
      <c r="D17" s="11">
        <v>5</v>
      </c>
      <c r="E17" s="11">
        <v>1.99</v>
      </c>
      <c r="F17" s="11">
        <v>2.19</v>
      </c>
    </row>
    <row r="18" spans="2:6" x14ac:dyDescent="0.35">
      <c r="B18" s="17"/>
      <c r="C18" s="14"/>
      <c r="D18" s="11">
        <v>6</v>
      </c>
      <c r="E18" s="11">
        <v>2.0099999999999998</v>
      </c>
      <c r="F18" s="11">
        <v>2.2599999999999998</v>
      </c>
    </row>
    <row r="28" spans="2:6" x14ac:dyDescent="0.35">
      <c r="B28" s="5"/>
    </row>
    <row r="29" spans="2:6" x14ac:dyDescent="0.35">
      <c r="B29" s="5"/>
    </row>
    <row r="30" spans="2:6" x14ac:dyDescent="0.35">
      <c r="B30" s="5"/>
    </row>
  </sheetData>
  <mergeCells count="14">
    <mergeCell ref="H2:P2"/>
    <mergeCell ref="H7:H12"/>
    <mergeCell ref="I7:I8"/>
    <mergeCell ref="I9:I12"/>
    <mergeCell ref="C13:C15"/>
    <mergeCell ref="B2:F2"/>
    <mergeCell ref="C4:C6"/>
    <mergeCell ref="B4:B6"/>
    <mergeCell ref="C7:C9"/>
    <mergeCell ref="C10:C12"/>
    <mergeCell ref="B7:B9"/>
    <mergeCell ref="B10:B12"/>
    <mergeCell ref="C16:C18"/>
    <mergeCell ref="B13:B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0D136-7807-4745-A136-7DF5344595AB}">
  <dimension ref="B2:I17"/>
  <sheetViews>
    <sheetView workbookViewId="0">
      <selection activeCell="F21" sqref="F21"/>
    </sheetView>
  </sheetViews>
  <sheetFormatPr baseColWidth="10" defaultColWidth="9.1796875" defaultRowHeight="14.5" x14ac:dyDescent="0.35"/>
  <cols>
    <col min="2" max="2" width="57.54296875" customWidth="1"/>
  </cols>
  <sheetData>
    <row r="2" spans="2:9" x14ac:dyDescent="0.35">
      <c r="B2" t="s">
        <v>48</v>
      </c>
      <c r="C2">
        <f xml:space="preserve"> (30+5) * 12</f>
        <v>420</v>
      </c>
    </row>
    <row r="3" spans="2:9" x14ac:dyDescent="0.35">
      <c r="B3" t="s">
        <v>49</v>
      </c>
      <c r="C3">
        <f xml:space="preserve"> (30+5) * 16</f>
        <v>560</v>
      </c>
      <c r="H3">
        <v>1</v>
      </c>
      <c r="I3">
        <f>$D$13/H3</f>
        <v>140.33333333333334</v>
      </c>
    </row>
    <row r="4" spans="2:9" x14ac:dyDescent="0.35">
      <c r="B4" t="s">
        <v>50</v>
      </c>
      <c r="C4">
        <f xml:space="preserve"> 4 * 60</f>
        <v>240</v>
      </c>
      <c r="H4">
        <v>2</v>
      </c>
      <c r="I4">
        <f t="shared" ref="I4:I17" si="0">$D$13/H4</f>
        <v>70.166666666666671</v>
      </c>
    </row>
    <row r="5" spans="2:9" x14ac:dyDescent="0.35">
      <c r="H5">
        <v>3</v>
      </c>
      <c r="I5">
        <f t="shared" si="0"/>
        <v>46.777777777777779</v>
      </c>
    </row>
    <row r="6" spans="2:9" x14ac:dyDescent="0.35">
      <c r="B6" t="s">
        <v>51</v>
      </c>
      <c r="C6">
        <f xml:space="preserve"> 60 * 30</f>
        <v>1800</v>
      </c>
      <c r="H6">
        <v>4</v>
      </c>
      <c r="I6">
        <f t="shared" si="0"/>
        <v>35.083333333333336</v>
      </c>
    </row>
    <row r="7" spans="2:9" x14ac:dyDescent="0.35">
      <c r="H7">
        <v>5</v>
      </c>
      <c r="I7">
        <f t="shared" si="0"/>
        <v>28.06666666666667</v>
      </c>
    </row>
    <row r="8" spans="2:9" x14ac:dyDescent="0.35">
      <c r="B8" t="s">
        <v>52</v>
      </c>
      <c r="C8">
        <f xml:space="preserve"> 60 * 30</f>
        <v>1800</v>
      </c>
      <c r="H8">
        <v>6</v>
      </c>
      <c r="I8">
        <f t="shared" si="0"/>
        <v>23.388888888888889</v>
      </c>
    </row>
    <row r="9" spans="2:9" x14ac:dyDescent="0.35">
      <c r="H9">
        <v>7</v>
      </c>
      <c r="I9">
        <f t="shared" si="0"/>
        <v>20.047619047619047</v>
      </c>
    </row>
    <row r="10" spans="2:9" x14ac:dyDescent="0.35">
      <c r="B10" t="s">
        <v>53</v>
      </c>
      <c r="C10">
        <f xml:space="preserve"> 60 * 60</f>
        <v>3600</v>
      </c>
      <c r="H10">
        <v>8</v>
      </c>
      <c r="I10">
        <f t="shared" si="0"/>
        <v>17.541666666666668</v>
      </c>
    </row>
    <row r="11" spans="2:9" x14ac:dyDescent="0.35">
      <c r="H11">
        <v>9</v>
      </c>
      <c r="I11">
        <f t="shared" si="0"/>
        <v>15.592592592592593</v>
      </c>
    </row>
    <row r="12" spans="2:9" x14ac:dyDescent="0.35">
      <c r="H12">
        <v>10</v>
      </c>
      <c r="I12">
        <f t="shared" si="0"/>
        <v>14.033333333333335</v>
      </c>
    </row>
    <row r="13" spans="2:9" x14ac:dyDescent="0.35">
      <c r="C13">
        <f>SUM(C2:C12)</f>
        <v>8420</v>
      </c>
      <c r="D13">
        <f>C13/60</f>
        <v>140.33333333333334</v>
      </c>
      <c r="H13">
        <v>11</v>
      </c>
      <c r="I13">
        <f t="shared" si="0"/>
        <v>12.757575757575758</v>
      </c>
    </row>
    <row r="14" spans="2:9" x14ac:dyDescent="0.35">
      <c r="H14">
        <v>12</v>
      </c>
      <c r="I14">
        <f t="shared" si="0"/>
        <v>11.694444444444445</v>
      </c>
    </row>
    <row r="15" spans="2:9" x14ac:dyDescent="0.35">
      <c r="H15">
        <v>13</v>
      </c>
      <c r="I15">
        <f t="shared" si="0"/>
        <v>10.794871794871796</v>
      </c>
    </row>
    <row r="16" spans="2:9" x14ac:dyDescent="0.35">
      <c r="H16">
        <v>14</v>
      </c>
      <c r="I16">
        <f t="shared" si="0"/>
        <v>10.023809523809524</v>
      </c>
    </row>
    <row r="17" spans="8:9" x14ac:dyDescent="0.35">
      <c r="H17">
        <v>15</v>
      </c>
      <c r="I17">
        <f t="shared" si="0"/>
        <v>9.3555555555555561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7C60D-49B6-4030-978D-AB0C021BF735}">
  <dimension ref="A1:L110"/>
  <sheetViews>
    <sheetView tabSelected="1" zoomScale="86" workbookViewId="0">
      <selection activeCell="I20" sqref="I20"/>
    </sheetView>
  </sheetViews>
  <sheetFormatPr baseColWidth="10" defaultRowHeight="14.5" x14ac:dyDescent="0.35"/>
  <cols>
    <col min="1" max="1" width="10.90625" style="2"/>
    <col min="2" max="2" width="21.6328125" style="2" bestFit="1" customWidth="1"/>
    <col min="3" max="3" width="25.1796875" style="2" customWidth="1"/>
    <col min="4" max="4" width="16.54296875" style="2" bestFit="1" customWidth="1"/>
    <col min="5" max="5" width="10.90625" style="2" customWidth="1"/>
    <col min="6" max="6" width="29.90625" style="2" customWidth="1"/>
    <col min="7" max="10" width="19.54296875" style="2" customWidth="1"/>
    <col min="11" max="12" width="10.90625" style="2"/>
  </cols>
  <sheetData>
    <row r="1" spans="2:10" s="2" customFormat="1" x14ac:dyDescent="0.35">
      <c r="B1" s="28" t="s">
        <v>95</v>
      </c>
    </row>
    <row r="2" spans="2:10" s="2" customFormat="1" x14ac:dyDescent="0.35">
      <c r="B2" s="9" t="s">
        <v>2</v>
      </c>
      <c r="C2" s="9" t="s">
        <v>3</v>
      </c>
      <c r="D2" s="9" t="s">
        <v>60</v>
      </c>
      <c r="E2" s="9" t="s">
        <v>4</v>
      </c>
      <c r="F2" s="11" t="s">
        <v>7</v>
      </c>
      <c r="G2" s="9" t="s">
        <v>5</v>
      </c>
      <c r="H2" s="9" t="s">
        <v>8</v>
      </c>
      <c r="I2" s="9" t="s">
        <v>9</v>
      </c>
      <c r="J2" s="9" t="s">
        <v>10</v>
      </c>
    </row>
    <row r="3" spans="2:10" s="2" customFormat="1" ht="29" x14ac:dyDescent="0.35">
      <c r="B3" s="9" t="s">
        <v>40</v>
      </c>
      <c r="C3" s="11" t="s">
        <v>19</v>
      </c>
      <c r="D3" s="11"/>
      <c r="E3" s="11">
        <v>6</v>
      </c>
      <c r="F3" s="8" t="s">
        <v>85</v>
      </c>
      <c r="G3" s="11" t="s">
        <v>77</v>
      </c>
      <c r="H3" s="11"/>
      <c r="I3" s="11" t="s">
        <v>46</v>
      </c>
      <c r="J3" s="11" t="s">
        <v>26</v>
      </c>
    </row>
    <row r="4" spans="2:10" s="2" customFormat="1" ht="29" x14ac:dyDescent="0.35">
      <c r="B4" s="15" t="s">
        <v>47</v>
      </c>
      <c r="C4" s="11" t="s">
        <v>19</v>
      </c>
      <c r="D4" s="25" t="s">
        <v>71</v>
      </c>
      <c r="E4" s="11">
        <v>6</v>
      </c>
      <c r="F4" s="11" t="s">
        <v>55</v>
      </c>
      <c r="G4" s="11">
        <v>1.97</v>
      </c>
      <c r="H4" s="11"/>
      <c r="I4" s="8" t="s">
        <v>69</v>
      </c>
      <c r="J4" s="8" t="s">
        <v>70</v>
      </c>
    </row>
    <row r="5" spans="2:10" s="2" customFormat="1" ht="29" x14ac:dyDescent="0.35">
      <c r="B5" s="16"/>
      <c r="C5" s="18" t="s">
        <v>54</v>
      </c>
      <c r="D5" s="26"/>
      <c r="E5" s="11">
        <v>5</v>
      </c>
      <c r="F5" s="11" t="s">
        <v>56</v>
      </c>
      <c r="G5" s="8" t="s">
        <v>72</v>
      </c>
      <c r="H5" s="11"/>
      <c r="I5" s="8" t="s">
        <v>74</v>
      </c>
      <c r="J5" s="11"/>
    </row>
    <row r="6" spans="2:10" s="2" customFormat="1" ht="29" x14ac:dyDescent="0.35">
      <c r="B6" s="17"/>
      <c r="C6" s="19"/>
      <c r="D6" s="27"/>
      <c r="E6" s="11">
        <v>6</v>
      </c>
      <c r="F6" s="11" t="s">
        <v>55</v>
      </c>
      <c r="G6" s="8" t="s">
        <v>73</v>
      </c>
      <c r="H6" s="11"/>
      <c r="I6" s="8" t="s">
        <v>75</v>
      </c>
      <c r="J6" s="8" t="s">
        <v>76</v>
      </c>
    </row>
    <row r="7" spans="2:10" s="2" customFormat="1" x14ac:dyDescent="0.35">
      <c r="B7" s="12" t="s">
        <v>57</v>
      </c>
      <c r="C7" s="13" t="s">
        <v>54</v>
      </c>
      <c r="D7" s="18" t="s">
        <v>61</v>
      </c>
      <c r="E7" s="11">
        <v>5</v>
      </c>
      <c r="F7" s="11" t="s">
        <v>56</v>
      </c>
      <c r="G7" s="11" t="s">
        <v>34</v>
      </c>
      <c r="H7" s="11"/>
      <c r="I7" s="11" t="s">
        <v>59</v>
      </c>
      <c r="J7" s="11"/>
    </row>
    <row r="8" spans="2:10" s="2" customFormat="1" x14ac:dyDescent="0.35">
      <c r="B8" s="12"/>
      <c r="C8" s="13"/>
      <c r="D8" s="19"/>
      <c r="E8" s="11" t="s">
        <v>58</v>
      </c>
      <c r="F8" s="11" t="s">
        <v>56</v>
      </c>
      <c r="G8" s="11" t="s">
        <v>63</v>
      </c>
      <c r="H8" s="11"/>
      <c r="I8" s="11" t="s">
        <v>64</v>
      </c>
      <c r="J8" s="11" t="s">
        <v>65</v>
      </c>
    </row>
    <row r="9" spans="2:10" s="2" customFormat="1" x14ac:dyDescent="0.35">
      <c r="B9" s="12"/>
      <c r="C9" s="13"/>
      <c r="D9" s="11" t="s">
        <v>62</v>
      </c>
      <c r="E9" s="11" t="s">
        <v>58</v>
      </c>
      <c r="F9" s="11" t="s">
        <v>56</v>
      </c>
      <c r="G9" s="11" t="s">
        <v>66</v>
      </c>
      <c r="H9" s="11"/>
      <c r="I9" s="11" t="s">
        <v>67</v>
      </c>
      <c r="J9" s="11" t="s">
        <v>68</v>
      </c>
    </row>
    <row r="10" spans="2:10" s="2" customFormat="1" ht="58" x14ac:dyDescent="0.35">
      <c r="B10" s="22" t="s">
        <v>78</v>
      </c>
      <c r="C10" s="8" t="s">
        <v>79</v>
      </c>
      <c r="D10" s="23" t="s">
        <v>80</v>
      </c>
      <c r="E10" s="8" t="s">
        <v>81</v>
      </c>
      <c r="F10" s="8" t="s">
        <v>82</v>
      </c>
      <c r="G10" s="11"/>
      <c r="H10" s="11"/>
      <c r="I10" s="11"/>
      <c r="J10" s="11"/>
    </row>
    <row r="11" spans="2:10" s="2" customFormat="1" ht="29" x14ac:dyDescent="0.35">
      <c r="B11" s="22" t="s">
        <v>83</v>
      </c>
      <c r="C11" s="11" t="s">
        <v>84</v>
      </c>
      <c r="D11" s="21" t="s">
        <v>61</v>
      </c>
      <c r="E11" s="11">
        <v>6</v>
      </c>
      <c r="F11" s="8" t="s">
        <v>85</v>
      </c>
      <c r="G11" s="4">
        <v>2</v>
      </c>
      <c r="H11" s="4"/>
      <c r="I11" s="4" t="s">
        <v>86</v>
      </c>
      <c r="J11" s="4" t="s">
        <v>86</v>
      </c>
    </row>
    <row r="12" spans="2:10" s="2" customFormat="1" ht="29" customHeight="1" x14ac:dyDescent="0.35">
      <c r="B12" s="12" t="s">
        <v>87</v>
      </c>
      <c r="C12" s="24" t="s">
        <v>88</v>
      </c>
      <c r="D12" s="13" t="s">
        <v>61</v>
      </c>
      <c r="E12" s="11">
        <v>4</v>
      </c>
      <c r="F12" s="11" t="s">
        <v>89</v>
      </c>
      <c r="G12" s="11" t="s">
        <v>90</v>
      </c>
      <c r="H12" s="4"/>
      <c r="I12" s="4"/>
      <c r="J12" s="4"/>
    </row>
    <row r="13" spans="2:10" s="2" customFormat="1" x14ac:dyDescent="0.35">
      <c r="B13" s="12"/>
      <c r="C13" s="24"/>
      <c r="D13" s="13"/>
      <c r="E13" s="11">
        <v>5</v>
      </c>
      <c r="F13" s="11" t="s">
        <v>91</v>
      </c>
      <c r="G13" s="11" t="s">
        <v>92</v>
      </c>
      <c r="H13" s="11" t="s">
        <v>93</v>
      </c>
      <c r="I13" s="4" t="s">
        <v>94</v>
      </c>
      <c r="J13" s="4"/>
    </row>
    <row r="14" spans="2:10" s="2" customFormat="1" ht="25" customHeight="1" x14ac:dyDescent="0.35">
      <c r="B14" s="22" t="s">
        <v>96</v>
      </c>
      <c r="C14" s="11" t="s">
        <v>97</v>
      </c>
      <c r="D14" s="21" t="s">
        <v>61</v>
      </c>
      <c r="E14" s="11">
        <v>5</v>
      </c>
      <c r="F14" s="11" t="s">
        <v>56</v>
      </c>
      <c r="G14" s="11" t="s">
        <v>20</v>
      </c>
      <c r="H14" s="4"/>
      <c r="I14" s="11" t="s">
        <v>98</v>
      </c>
      <c r="J14" s="4"/>
    </row>
    <row r="15" spans="2:10" s="2" customFormat="1" ht="29" x14ac:dyDescent="0.35">
      <c r="B15" s="22" t="s">
        <v>99</v>
      </c>
      <c r="C15" s="8" t="s">
        <v>100</v>
      </c>
      <c r="D15" s="21" t="s">
        <v>61</v>
      </c>
      <c r="E15" s="11">
        <v>5</v>
      </c>
      <c r="F15" s="8" t="s">
        <v>101</v>
      </c>
      <c r="G15" s="11">
        <v>1.96</v>
      </c>
      <c r="H15" s="11"/>
      <c r="I15" s="11">
        <v>1.96</v>
      </c>
      <c r="J15" s="11"/>
    </row>
    <row r="16" spans="2:10" s="2" customFormat="1" x14ac:dyDescent="0.35"/>
    <row r="17" s="2" customFormat="1" x14ac:dyDescent="0.35"/>
    <row r="18" s="2" customFormat="1" x14ac:dyDescent="0.35"/>
    <row r="19" s="2" customFormat="1" x14ac:dyDescent="0.35"/>
    <row r="20" s="2" customFormat="1" x14ac:dyDescent="0.35"/>
    <row r="21" s="2" customFormat="1" x14ac:dyDescent="0.35"/>
    <row r="22" s="2" customFormat="1" x14ac:dyDescent="0.35"/>
    <row r="23" s="2" customFormat="1" x14ac:dyDescent="0.35"/>
    <row r="24" s="2" customFormat="1" x14ac:dyDescent="0.35"/>
    <row r="25" s="2" customFormat="1" x14ac:dyDescent="0.35"/>
    <row r="26" s="2" customFormat="1" x14ac:dyDescent="0.35"/>
    <row r="27" s="2" customFormat="1" x14ac:dyDescent="0.35"/>
    <row r="28" s="2" customFormat="1" x14ac:dyDescent="0.35"/>
    <row r="29" s="2" customFormat="1" x14ac:dyDescent="0.35"/>
    <row r="30" s="2" customFormat="1" x14ac:dyDescent="0.35"/>
    <row r="31" s="2" customFormat="1" x14ac:dyDescent="0.35"/>
    <row r="32" s="2" customFormat="1" x14ac:dyDescent="0.35"/>
    <row r="33" s="2" customFormat="1" x14ac:dyDescent="0.35"/>
    <row r="34" s="2" customFormat="1" x14ac:dyDescent="0.35"/>
    <row r="35" s="2" customFormat="1" x14ac:dyDescent="0.35"/>
    <row r="36" s="2" customFormat="1" x14ac:dyDescent="0.35"/>
    <row r="37" s="2" customFormat="1" x14ac:dyDescent="0.35"/>
    <row r="38" s="2" customFormat="1" x14ac:dyDescent="0.35"/>
    <row r="39" s="2" customFormat="1" x14ac:dyDescent="0.35"/>
    <row r="40" s="2" customFormat="1" x14ac:dyDescent="0.35"/>
    <row r="41" s="2" customFormat="1" x14ac:dyDescent="0.35"/>
    <row r="42" s="2" customFormat="1" x14ac:dyDescent="0.35"/>
    <row r="43" s="2" customFormat="1" x14ac:dyDescent="0.35"/>
    <row r="44" s="2" customFormat="1" x14ac:dyDescent="0.35"/>
    <row r="45" s="2" customFormat="1" x14ac:dyDescent="0.35"/>
    <row r="46" s="2" customFormat="1" x14ac:dyDescent="0.35"/>
    <row r="47" s="2" customFormat="1" x14ac:dyDescent="0.35"/>
    <row r="48" s="2" customFormat="1" x14ac:dyDescent="0.35"/>
    <row r="49" s="2" customFormat="1" x14ac:dyDescent="0.35"/>
    <row r="50" s="2" customFormat="1" x14ac:dyDescent="0.35"/>
    <row r="51" s="2" customFormat="1" x14ac:dyDescent="0.35"/>
    <row r="52" s="2" customFormat="1" x14ac:dyDescent="0.35"/>
    <row r="53" s="2" customFormat="1" x14ac:dyDescent="0.35"/>
    <row r="54" s="2" customFormat="1" x14ac:dyDescent="0.35"/>
    <row r="55" s="2" customFormat="1" x14ac:dyDescent="0.35"/>
    <row r="56" s="2" customFormat="1" x14ac:dyDescent="0.35"/>
    <row r="57" s="2" customFormat="1" x14ac:dyDescent="0.35"/>
    <row r="58" s="2" customFormat="1" x14ac:dyDescent="0.35"/>
    <row r="59" s="2" customFormat="1" x14ac:dyDescent="0.35"/>
    <row r="60" s="2" customFormat="1" x14ac:dyDescent="0.35"/>
    <row r="61" s="2" customFormat="1" x14ac:dyDescent="0.35"/>
    <row r="62" s="2" customFormat="1" x14ac:dyDescent="0.35"/>
    <row r="63" s="2" customFormat="1" x14ac:dyDescent="0.35"/>
    <row r="64" s="2" customFormat="1" x14ac:dyDescent="0.35"/>
    <row r="65" s="2" customFormat="1" x14ac:dyDescent="0.35"/>
    <row r="66" s="2" customFormat="1" x14ac:dyDescent="0.35"/>
    <row r="67" s="2" customFormat="1" x14ac:dyDescent="0.35"/>
    <row r="68" s="2" customFormat="1" x14ac:dyDescent="0.35"/>
    <row r="69" s="2" customFormat="1" x14ac:dyDescent="0.35"/>
    <row r="70" s="2" customFormat="1" x14ac:dyDescent="0.35"/>
    <row r="71" s="2" customFormat="1" x14ac:dyDescent="0.35"/>
    <row r="72" s="2" customFormat="1" x14ac:dyDescent="0.35"/>
    <row r="73" s="2" customFormat="1" x14ac:dyDescent="0.35"/>
    <row r="74" s="2" customFormat="1" x14ac:dyDescent="0.35"/>
    <row r="75" s="2" customFormat="1" x14ac:dyDescent="0.35"/>
    <row r="76" s="2" customFormat="1" x14ac:dyDescent="0.35"/>
    <row r="77" s="2" customFormat="1" x14ac:dyDescent="0.35"/>
    <row r="78" s="2" customFormat="1" x14ac:dyDescent="0.35"/>
    <row r="79" s="2" customFormat="1" x14ac:dyDescent="0.35"/>
    <row r="80" s="2" customFormat="1" x14ac:dyDescent="0.35"/>
    <row r="81" s="2" customFormat="1" x14ac:dyDescent="0.35"/>
    <row r="82" s="2" customFormat="1" x14ac:dyDescent="0.35"/>
    <row r="83" s="2" customFormat="1" x14ac:dyDescent="0.35"/>
    <row r="84" s="2" customFormat="1" x14ac:dyDescent="0.35"/>
    <row r="85" s="2" customFormat="1" x14ac:dyDescent="0.35"/>
    <row r="86" s="2" customFormat="1" x14ac:dyDescent="0.35"/>
    <row r="87" s="2" customFormat="1" x14ac:dyDescent="0.35"/>
    <row r="88" s="2" customFormat="1" x14ac:dyDescent="0.35"/>
    <row r="89" s="2" customFormat="1" x14ac:dyDescent="0.35"/>
    <row r="90" s="2" customFormat="1" x14ac:dyDescent="0.35"/>
    <row r="91" s="2" customFormat="1" x14ac:dyDescent="0.35"/>
    <row r="92" s="2" customFormat="1" x14ac:dyDescent="0.35"/>
    <row r="93" s="2" customFormat="1" x14ac:dyDescent="0.35"/>
    <row r="94" s="2" customFormat="1" x14ac:dyDescent="0.35"/>
    <row r="95" s="2" customFormat="1" x14ac:dyDescent="0.35"/>
    <row r="96" s="2" customFormat="1" x14ac:dyDescent="0.35"/>
    <row r="97" s="2" customFormat="1" x14ac:dyDescent="0.35"/>
    <row r="98" s="2" customFormat="1" x14ac:dyDescent="0.35"/>
    <row r="99" s="2" customFormat="1" x14ac:dyDescent="0.35"/>
    <row r="100" s="2" customFormat="1" x14ac:dyDescent="0.35"/>
    <row r="101" s="2" customFormat="1" x14ac:dyDescent="0.35"/>
    <row r="102" s="2" customFormat="1" x14ac:dyDescent="0.35"/>
    <row r="103" s="2" customFormat="1" x14ac:dyDescent="0.35"/>
    <row r="104" s="2" customFormat="1" x14ac:dyDescent="0.35"/>
    <row r="105" s="2" customFormat="1" x14ac:dyDescent="0.35"/>
    <row r="106" s="2" customFormat="1" x14ac:dyDescent="0.35"/>
    <row r="107" s="2" customFormat="1" x14ac:dyDescent="0.35"/>
    <row r="108" s="2" customFormat="1" x14ac:dyDescent="0.35"/>
    <row r="109" s="2" customFormat="1" x14ac:dyDescent="0.35"/>
    <row r="110" s="2" customFormat="1" x14ac:dyDescent="0.35"/>
  </sheetData>
  <mergeCells count="9">
    <mergeCell ref="D4:D6"/>
    <mergeCell ref="D7:D8"/>
    <mergeCell ref="B12:B13"/>
    <mergeCell ref="C12:C13"/>
    <mergeCell ref="D12:D13"/>
    <mergeCell ref="B7:B9"/>
    <mergeCell ref="C7:C9"/>
    <mergeCell ref="C5:C6"/>
    <mergeCell ref="B4:B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Jorge Rosas</dc:creator>
  <cp:keywords/>
  <dc:description/>
  <cp:lastModifiedBy>Jorge Rosas</cp:lastModifiedBy>
  <cp:revision/>
  <dcterms:created xsi:type="dcterms:W3CDTF">2025-08-26T17:53:44Z</dcterms:created>
  <dcterms:modified xsi:type="dcterms:W3CDTF">2025-09-19T00:53:51Z</dcterms:modified>
  <cp:category/>
  <cp:contentStatus/>
</cp:coreProperties>
</file>
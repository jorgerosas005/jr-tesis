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898" documentId="8_{E33501D9-86D2-43E6-AD17-6A1492C263AF}" xr6:coauthVersionLast="47" xr6:coauthVersionMax="47" xr10:uidLastSave="{5B7A1A10-6809-5A60-8F8C-CEDFC32F614C}"/>
  <bookViews>
    <workbookView xWindow="-110" yWindow="-110" windowWidth="19420" windowHeight="12220" firstSheet="1" activeTab="3" xr2:uid="{F197E1E3-6026-4ADE-B6DB-F8AFBB1F36F8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<sst xmlns="http://schemas.openxmlformats.org/spreadsheetml/2006/main" count="225" uniqueCount="169">
  <si>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</si>
  <si>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</si>
  <si>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</si>
  <si>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</si>
  <si>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</si>
  <si>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</si>
  <si>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</si>
  <si>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</si>
  <si>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</si>
  <si>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</si>
  <si>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</si>
  <si>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</si>
  <si>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</si>
  <si>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</si>
  <si>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</si>
  <si>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</si>
  <si>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</si>
  <si>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</si>
  <si>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</si>
  <si>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</si>
  <si>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</si>
  <si>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</si>
  <si>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</si>
  <si>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</si>
  <si>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</si>
  <si>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</si>
  <si>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</si>
  <si>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</si>
  <si>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</si>
  <si>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</si>
  <si>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</si>
  <si>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</si>
  <si>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</si>
  <si>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</si>
  <si>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</si>
  <si>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</si>
  <si>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</si>
  <si>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</si>
  <si>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\cite{Me-2025-02}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</si>
  <si>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</si>
  <si>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</si>
  <si>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</si>
  <si>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</si>
  <si>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</si>
  <si>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</si>
  <si>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</si>
  <si>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</si>
  <si>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</si>
  <si>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</si>
  <si>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</si>
  <si>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</si>
  <si>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</si>
  <si>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Experimetnales e híbridos</t>
  </si>
  <si>
    <t>Fase</t>
  </si>
  <si>
    <t>Octaédrica
 distorsionada</t>
  </si>
  <si>
    <t>1.957 ± 0.003</t>
  </si>
  <si>
    <t>2.14 ± 0.02</t>
  </si>
  <si>
    <t>\cite{Wa-2018-02}</t>
  </si>
  <si>
    <t>Vidrios acuosos congelados
 (con 2 agente vitrificantes)</t>
  </si>
  <si>
    <t>Asimétrica axial</t>
  </si>
  <si>
    <t>2.22
2.24</t>
  </si>
  <si>
    <t>2.37
2.38</t>
  </si>
  <si>
    <t>MXAN</t>
  </si>
  <si>
    <t>Pirámide cuadrada</t>
  </si>
  <si>
    <t>1.95 ± 0.01
1.95 ± 0.01</t>
  </si>
  <si>
    <t>2.23 ± 0.08
2.24 ± 0.06</t>
  </si>
  <si>
    <t>1.95 ± 0.01
1.94 ± 0.01</t>
  </si>
  <si>
    <t>1.93 ± 0.03
2.14 ± 0.11</t>
  </si>
  <si>
    <t>2.22 ± 0.04
2.28 ± 0.10</t>
  </si>
  <si>
    <t>\cite{Wa-2015-01}</t>
  </si>
  <si>
    <t>Solución acuosa</t>
  </si>
  <si>
    <t>2.23 ± 0.11</t>
  </si>
  <si>
    <t>5 + 1</t>
  </si>
  <si>
    <t>1.94 ± 0.02</t>
  </si>
  <si>
    <t>2.06 ± 0.07</t>
  </si>
  <si>
    <t>2.99 ± 0.22</t>
  </si>
  <si>
    <t>Solución congelada</t>
  </si>
  <si>
    <t>1.97 ± 0.02</t>
  </si>
  <si>
    <t>2.44 ± 0.13</t>
  </si>
  <si>
    <t>3.0 ± 0.1</t>
  </si>
  <si>
    <t>\cite{Wa-2013-01}</t>
  </si>
  <si>
    <t>Dispersión de neutrones
Dispersión de rayos X
EXAFS
EPSR</t>
  </si>
  <si>
    <t>Solución acuosa
Dos soluciones</t>
  </si>
  <si>
    <t>4.1 ± 0.3
4.5 ± 0.6</t>
  </si>
  <si>
    <t>Tetraédrica
Trigonal bipiramidal
Octaédrica distorsionada</t>
  </si>
  <si>
    <t>\cite{Wa-2009-02}</t>
  </si>
  <si>
    <t>Análisis estructural por rayos X</t>
  </si>
  <si>
    <t>2.10 - 2.30</t>
  </si>
  <si>
    <t>\cite{Wa-2005-01}</t>
  </si>
  <si>
    <t>MXAN / XAS
DFT / B(38HF)P86</t>
  </si>
  <si>
    <t>Distorsión D_{2d}</t>
  </si>
  <si>
    <t>1.96 ± 0.02</t>
  </si>
  <si>
    <t>Pirámide cuadrada C_{2v}</t>
  </si>
  <si>
    <t>1.98 ± 0.03</t>
  </si>
  <si>
    <t>1.95 ± 0.03</t>
  </si>
  <si>
    <t>2.35 ± 0.05</t>
  </si>
  <si>
    <t>\cite{Wa-2002-01}</t>
  </si>
  <si>
    <t>XANES / MXAN /XAS</t>
  </si>
  <si>
    <t>2.39 ± 0.06</t>
  </si>
  <si>
    <t>\cite{Wa-2001-01}</t>
  </si>
  <si>
    <t>Difracción de neutrones
CPMD /  BYLP</t>
  </si>
  <si>
    <t>Pirámide cuadrada
Bipirámide trigonal</t>
  </si>
  <si>
    <t>\cite{Wa-1987-01}</t>
  </si>
  <si>
    <t>Difracción de neutrones</t>
  </si>
  <si>
    <t>1.96 ± 0.03</t>
  </si>
  <si>
    <t>\cite{Wa-1981-01}</t>
  </si>
  <si>
    <t>1.955 ± 0.03</t>
  </si>
  <si>
    <t>2.60 ± 0.05</t>
  </si>
  <si>
    <t>\cite{Wa-1982-01}</t>
  </si>
  <si>
    <t>2 + 4</t>
  </si>
  <si>
    <t>-</t>
  </si>
  <si>
    <t>2.05</t>
  </si>
  <si>
    <t>Cu-2002-01</t>
  </si>
  <si>
    <t>Cu-2004-01</t>
  </si>
  <si>
    <t>Cu-2011-01</t>
  </si>
  <si>
    <t>Cu-2013-01</t>
  </si>
  <si>
    <t>Lee el siguiente documento con detenimiento, extrae la siguiente infomración:</t>
  </si>
  <si>
    <t>Cu-2014-01</t>
  </si>
  <si>
    <t>Tipo de estudio: teórico o experimental</t>
  </si>
  <si>
    <t>Cu-2015-01</t>
  </si>
  <si>
    <t>Resumen de la metodología</t>
  </si>
  <si>
    <t>Cu-2019-01</t>
  </si>
  <si>
    <t>Técnica utilizada</t>
  </si>
  <si>
    <t>Me-1986-01</t>
  </si>
  <si>
    <t>Fase estudiada</t>
  </si>
  <si>
    <t>Me-1999-01</t>
  </si>
  <si>
    <t>Número de coordinación</t>
  </si>
  <si>
    <t>Wa-1981-01</t>
  </si>
  <si>
    <t>Wa-1982-01</t>
  </si>
  <si>
    <t>Distancias axiales</t>
  </si>
  <si>
    <t>Wa-1987-01</t>
  </si>
  <si>
    <t>Distancias ecuatoriales</t>
  </si>
  <si>
    <t>Wa-1988-01</t>
  </si>
  <si>
    <t>Wa-1999-01</t>
  </si>
  <si>
    <t>Wa-2001-01</t>
  </si>
  <si>
    <t>Wa-2002-01</t>
  </si>
  <si>
    <t>Wa-2003-01</t>
  </si>
  <si>
    <t>Wa-2004-02</t>
  </si>
  <si>
    <t>Wa-2005-01</t>
  </si>
  <si>
    <t>Wa-2015-01</t>
  </si>
  <si>
    <t>Wa-2016-01</t>
  </si>
  <si>
    <t>Wa-2017-01</t>
  </si>
  <si>
    <t>Wa-2018-01</t>
  </si>
  <si>
    <t>Wa-2018-02</t>
  </si>
  <si>
    <t>Wa-2019-01</t>
  </si>
  <si>
    <t>Wa-2020-01</t>
  </si>
  <si>
    <t>Wa-2023-01</t>
  </si>
  <si>
    <t>Wa-2024-01</t>
  </si>
  <si>
    <t>Wa-2024-03</t>
  </si>
  <si>
    <t>\cite{Wa-1999-01}</t>
  </si>
  <si>
    <t>\cite{Wa-2004-01}</t>
  </si>
  <si>
    <t>\cite{Wa-2005-03}</t>
  </si>
  <si>
    <t>\cite{Wa-2007-02}</t>
  </si>
  <si>
    <t>\cite{Wa-2007-03}</t>
  </si>
  <si>
    <t>\cite{Wa-2008-02}</t>
  </si>
  <si>
    <t>\cite{Wa-2008-01}</t>
  </si>
  <si>
    <t>\cite{Wa-2009-01}</t>
  </si>
  <si>
    <t>\cite{Wa-2010-02}</t>
  </si>
  <si>
    <t>\cite{Wa-2010-03}</t>
  </si>
  <si>
    <t>\cite{Wa-2012-01}</t>
  </si>
  <si>
    <t>\cite{Wa-2017-01}</t>
  </si>
  <si>
    <t>\cite{Wa-2018-01}</t>
  </si>
  <si>
    <t>\cite{Wa-2023-01}</t>
  </si>
  <si>
    <t>\cite{Wa-2024-03}</t>
  </si>
  <si>
    <t>Gaseosa</t>
  </si>
  <si>
    <t>CPMD
DFT / Becke y Perdew</t>
  </si>
  <si>
    <t>Cuadrangular plana
y tetraédrica distorsionada</t>
  </si>
  <si>
    <t>Piramide tetragonal</t>
  </si>
  <si>
    <t>Octaedro distorsionado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</si>
</sst>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"/>
      <charset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P30"/>
  <sheetViews>
    <sheetView topLeftCell="P1" zoomScale="95" zoomScaleNormal="115" workbookViewId="0">
      <selection activeCell="R2" sqref="R2:Z10"/>
    </sheetView>
  </sheetViews>
  <sheetFormatPr baseColWidth="10" defaultColWidth="11.453125" defaultRowHeight="14.5" x14ac:dyDescent="0.35"/>
  <cols>
    <col min="1" max="1" width="25.1796875" style="2" customWidth="1"/>
    <col min="2" max="2" width="15.81640625" style="2" bestFit="1" customWidth="1"/>
    <col min="3" max="3" width="17.453125" style="2" bestFit="1" customWidth="1"/>
    <col min="4" max="4" width="3.54296875" style="2" bestFit="1" customWidth="1"/>
    <col min="5" max="5" width="18" style="2" customWidth="1"/>
    <col min="6" max="6" width="15.54296875" style="2" customWidth="1"/>
    <col min="7" max="7" width="25.1796875" style="2" customWidth="1"/>
    <col min="8" max="8" width="16.1796875" style="2" bestFit="1" customWidth="1"/>
    <col min="9" max="9" width="17" style="2" bestFit="1" customWidth="1"/>
    <col min="10" max="10" width="4" style="2" bestFit="1" customWidth="1"/>
    <col min="11" max="11" width="23.453125" style="2" bestFit="1" customWidth="1"/>
    <col min="12" max="12" width="19.26953125" style="2" customWidth="1"/>
    <col min="13" max="13" width="14.453125" style="2" bestFit="1" customWidth="1"/>
    <col min="14" max="14" width="16.453125" style="2" bestFit="1" customWidth="1"/>
    <col min="15" max="15" width="16.26953125" style="2" bestFit="1" customWidth="1"/>
    <col min="16" max="16" width="16.26953125" style="1" bestFit="1" customWidth="1"/>
  </cols>
  <sheetData>
    <row r="2" spans="2:16" ht="15" thickBot="1" x14ac:dyDescent="0.4">
      <c r="B2" s="36" t="s">
        <v>0</v>
      </c>
      <c r="C2" s="36"/>
      <c r="D2" s="36"/>
      <c r="E2" s="36"/>
      <c r="F2" s="36"/>
      <c r="H2" s="36" t="s">
        <v>1</v>
      </c>
      <c r="I2" s="36"/>
      <c r="J2" s="36"/>
      <c r="K2" s="36"/>
      <c r="L2" s="36"/>
      <c r="M2" s="36"/>
      <c r="N2" s="36"/>
      <c r="O2" s="36"/>
      <c r="P2" s="36"/>
    </row>
    <row r="3" spans="2:16" ht="15" thickBot="1" x14ac:dyDescent="0.4">
      <c r="B3" s="14" t="s">
        <v>2</v>
      </c>
      <c r="C3" s="14" t="s">
        <v>3</v>
      </c>
      <c r="D3" s="14" t="s">
        <v>4</v>
      </c>
      <c r="E3" s="14" t="s">
        <v>5</v>
      </c>
      <c r="F3" s="14" t="s">
        <v>6</v>
      </c>
      <c r="G3" s="6"/>
      <c r="H3" s="14" t="s">
        <v>2</v>
      </c>
      <c r="I3" s="14" t="s">
        <v>3</v>
      </c>
      <c r="J3" s="14" t="s">
        <v>4</v>
      </c>
      <c r="K3" s="14"/>
      <c r="L3" s="12" t="s">
        <v>7</v>
      </c>
      <c r="M3" s="14" t="s">
        <v>5</v>
      </c>
      <c r="N3" s="14" t="s">
        <v>8</v>
      </c>
      <c r="O3" s="14" t="s">
        <v>9</v>
      </c>
      <c r="P3" s="14" t="s">
        <v>10</v>
      </c>
    </row>
    <row r="4" spans="2:16" ht="29.5" thickBot="1" x14ac:dyDescent="0.4">
      <c r="B4" s="33" t="s">
        <v>11</v>
      </c>
      <c r="C4" s="31" t="s">
        <v>12</v>
      </c>
      <c r="D4" s="14">
        <v>4</v>
      </c>
      <c r="E4" s="3">
        <v>1.94</v>
      </c>
      <c r="F4" s="12"/>
      <c r="G4" s="6"/>
      <c r="H4" s="12" t="s">
        <v>13</v>
      </c>
      <c r="I4" s="17" t="s">
        <v>14</v>
      </c>
      <c r="J4" s="12">
        <v>6</v>
      </c>
      <c r="K4" s="12"/>
      <c r="L4" s="12" t="s">
        <v>15</v>
      </c>
      <c r="M4" s="12"/>
      <c r="N4" s="12"/>
      <c r="O4" s="12"/>
      <c r="P4" s="7">
        <v>2.1</v>
      </c>
    </row>
    <row r="5" spans="2:16" ht="15" thickBot="1" x14ac:dyDescent="0.4">
      <c r="B5" s="34"/>
      <c r="C5" s="32"/>
      <c r="D5" s="12">
        <v>5</v>
      </c>
      <c r="E5" s="4">
        <v>1.99</v>
      </c>
      <c r="F5" s="15">
        <v>2.21</v>
      </c>
      <c r="G5" s="6"/>
      <c r="H5" s="12" t="s">
        <v>16</v>
      </c>
      <c r="I5" s="12" t="s">
        <v>17</v>
      </c>
      <c r="J5" s="12">
        <v>6</v>
      </c>
      <c r="K5" s="12"/>
      <c r="L5" s="12"/>
      <c r="M5" s="12"/>
      <c r="N5" s="12"/>
      <c r="O5" s="12"/>
      <c r="P5" s="7"/>
    </row>
    <row r="6" spans="2:16" ht="15" thickBot="1" x14ac:dyDescent="0.4">
      <c r="B6" s="35"/>
      <c r="C6" s="32"/>
      <c r="D6" s="12">
        <v>6</v>
      </c>
      <c r="E6" s="4">
        <v>2.0099999999999998</v>
      </c>
      <c r="F6" s="12">
        <v>2.27</v>
      </c>
      <c r="G6" s="6"/>
      <c r="H6" s="12" t="s">
        <v>18</v>
      </c>
      <c r="I6" s="12" t="s">
        <v>19</v>
      </c>
      <c r="J6" s="12">
        <v>3.8</v>
      </c>
      <c r="K6" s="12"/>
      <c r="L6" s="17"/>
      <c r="M6" s="12" t="s">
        <v>20</v>
      </c>
      <c r="N6" s="12"/>
      <c r="O6" s="12"/>
      <c r="P6" s="7"/>
    </row>
    <row r="7" spans="2:16" x14ac:dyDescent="0.35">
      <c r="B7" s="33" t="s">
        <v>21</v>
      </c>
      <c r="C7" s="31" t="s">
        <v>22</v>
      </c>
      <c r="D7" s="14">
        <v>4</v>
      </c>
      <c r="E7" s="4">
        <v>1.95</v>
      </c>
      <c r="F7" s="4"/>
      <c r="H7" s="33" t="s">
        <v>23</v>
      </c>
      <c r="I7" s="37" t="s">
        <v>19</v>
      </c>
      <c r="J7" s="12">
        <v>5</v>
      </c>
      <c r="K7" s="12"/>
      <c r="L7" s="12"/>
      <c r="M7" s="12" t="s">
        <v>24</v>
      </c>
      <c r="N7" s="12"/>
      <c r="O7" s="12" t="s">
        <v>25</v>
      </c>
      <c r="P7" s="12"/>
    </row>
    <row r="8" spans="2:16" x14ac:dyDescent="0.35">
      <c r="B8" s="34"/>
      <c r="C8" s="32"/>
      <c r="D8" s="12">
        <v>5</v>
      </c>
      <c r="E8" s="4">
        <v>2</v>
      </c>
      <c r="F8" s="4">
        <v>2.15</v>
      </c>
      <c r="H8" s="34"/>
      <c r="I8" s="38"/>
      <c r="J8" s="12">
        <v>6</v>
      </c>
      <c r="K8" s="12"/>
      <c r="L8" s="12"/>
      <c r="M8" s="12" t="s">
        <v>24</v>
      </c>
      <c r="N8" s="12"/>
      <c r="O8" s="12" t="s">
        <v>26</v>
      </c>
      <c r="P8" s="12"/>
    </row>
    <row r="9" spans="2:16" x14ac:dyDescent="0.35">
      <c r="B9" s="35"/>
      <c r="C9" s="32"/>
      <c r="D9" s="12">
        <v>6</v>
      </c>
      <c r="E9" s="4">
        <v>2.02</v>
      </c>
      <c r="F9" s="4">
        <v>2.2599999999999998</v>
      </c>
      <c r="H9" s="34"/>
      <c r="I9" s="37" t="s">
        <v>27</v>
      </c>
      <c r="J9" s="12">
        <v>4</v>
      </c>
      <c r="K9" s="12"/>
      <c r="L9" s="12" t="s">
        <v>28</v>
      </c>
      <c r="M9" s="12" t="s">
        <v>29</v>
      </c>
      <c r="N9" s="12" t="s">
        <v>29</v>
      </c>
      <c r="O9" s="12"/>
      <c r="P9" s="12"/>
    </row>
    <row r="10" spans="2:16" ht="29" x14ac:dyDescent="0.35">
      <c r="B10" s="33" t="s">
        <v>30</v>
      </c>
      <c r="C10" s="31" t="s">
        <v>31</v>
      </c>
      <c r="D10" s="14">
        <v>4</v>
      </c>
      <c r="E10" s="12">
        <v>1.97</v>
      </c>
      <c r="F10" s="12"/>
      <c r="H10" s="34"/>
      <c r="I10" s="39"/>
      <c r="J10" s="12">
        <v>4</v>
      </c>
      <c r="K10" s="12"/>
      <c r="L10" s="17" t="s">
        <v>32</v>
      </c>
      <c r="M10" s="12" t="s">
        <v>33</v>
      </c>
      <c r="N10" s="12" t="s">
        <v>33</v>
      </c>
      <c r="O10" s="12"/>
      <c r="P10" s="7"/>
    </row>
    <row r="11" spans="2:16" x14ac:dyDescent="0.35">
      <c r="B11" s="34"/>
      <c r="C11" s="32"/>
      <c r="D11" s="12">
        <v>5</v>
      </c>
      <c r="E11" s="12">
        <v>1.99</v>
      </c>
      <c r="F11" s="12">
        <v>2.16</v>
      </c>
      <c r="H11" s="34"/>
      <c r="I11" s="39"/>
      <c r="J11" s="12">
        <v>5</v>
      </c>
      <c r="K11" s="12"/>
      <c r="L11" s="12"/>
      <c r="M11" s="12" t="s">
        <v>34</v>
      </c>
      <c r="N11" s="12" t="s">
        <v>35</v>
      </c>
      <c r="O11" s="12" t="s">
        <v>36</v>
      </c>
      <c r="P11" s="7"/>
    </row>
    <row r="12" spans="2:16" x14ac:dyDescent="0.35">
      <c r="B12" s="35"/>
      <c r="C12" s="32"/>
      <c r="D12" s="12">
        <v>6</v>
      </c>
      <c r="E12" s="12">
        <v>2.02</v>
      </c>
      <c r="F12" s="12">
        <v>2.2400000000000002</v>
      </c>
      <c r="H12" s="35"/>
      <c r="I12" s="38"/>
      <c r="J12" s="12">
        <v>6</v>
      </c>
      <c r="K12" s="12"/>
      <c r="L12" s="12"/>
      <c r="M12" s="12" t="s">
        <v>34</v>
      </c>
      <c r="N12" s="12" t="s">
        <v>34</v>
      </c>
      <c r="O12" s="12" t="s">
        <v>37</v>
      </c>
      <c r="P12" s="7"/>
    </row>
    <row r="13" spans="2:16" ht="29" x14ac:dyDescent="0.35">
      <c r="B13" s="33" t="s">
        <v>38</v>
      </c>
      <c r="C13" s="31" t="s">
        <v>39</v>
      </c>
      <c r="D13" s="14">
        <v>4</v>
      </c>
      <c r="E13" s="12">
        <v>1.95</v>
      </c>
      <c r="F13" s="12"/>
      <c r="H13" s="14" t="s">
        <v>40</v>
      </c>
      <c r="I13" s="12" t="s">
        <v>19</v>
      </c>
      <c r="J13" s="12">
        <v>6</v>
      </c>
      <c r="K13" s="12"/>
      <c r="L13" s="17" t="s">
        <v>41</v>
      </c>
      <c r="M13" s="12" t="s">
        <v>42</v>
      </c>
      <c r="N13" s="12"/>
      <c r="O13" s="12" t="s">
        <v>43</v>
      </c>
      <c r="P13" s="7" t="s">
        <v>44</v>
      </c>
    </row>
    <row r="14" spans="2:16" x14ac:dyDescent="0.35">
      <c r="B14" s="34"/>
      <c r="C14" s="32"/>
      <c r="D14" s="12">
        <v>5</v>
      </c>
      <c r="E14" s="12">
        <v>1.99</v>
      </c>
      <c r="F14" s="12">
        <v>2.14</v>
      </c>
    </row>
    <row r="15" spans="2:16" x14ac:dyDescent="0.35">
      <c r="B15" s="34"/>
      <c r="C15" s="32"/>
      <c r="D15" s="12">
        <v>6</v>
      </c>
      <c r="E15" s="12">
        <v>2.02</v>
      </c>
      <c r="F15" s="12">
        <v>2.2599999999999998</v>
      </c>
    </row>
    <row r="16" spans="2:16" ht="15" customHeight="1" x14ac:dyDescent="0.35">
      <c r="B16" s="34"/>
      <c r="C16" s="31" t="s">
        <v>45</v>
      </c>
      <c r="D16" s="14">
        <v>4</v>
      </c>
      <c r="E16" s="12">
        <v>1.96</v>
      </c>
      <c r="F16" s="12"/>
    </row>
    <row r="17" spans="2:6" x14ac:dyDescent="0.35">
      <c r="B17" s="34"/>
      <c r="C17" s="32"/>
      <c r="D17" s="12">
        <v>5</v>
      </c>
      <c r="E17" s="12">
        <v>1.99</v>
      </c>
      <c r="F17" s="12">
        <v>2.19</v>
      </c>
    </row>
    <row r="18" spans="2:6" x14ac:dyDescent="0.35">
      <c r="B18" s="35"/>
      <c r="C18" s="32"/>
      <c r="D18" s="12">
        <v>6</v>
      </c>
      <c r="E18" s="12">
        <v>2.0099999999999998</v>
      </c>
      <c r="F18" s="12">
        <v>2.2599999999999998</v>
      </c>
    </row>
    <row r="28" spans="2:6" x14ac:dyDescent="0.35">
      <c r="B28" s="5"/>
    </row>
    <row r="29" spans="2:6" x14ac:dyDescent="0.35">
      <c r="B29" s="5"/>
    </row>
    <row r="30" spans="2:6" x14ac:dyDescent="0.35">
      <c r="B30" s="5"/>
    </row>
  </sheetData>
  <mergeCells count="14">
    <mergeCell ref="C16:C18"/>
    <mergeCell ref="B13:B18"/>
    <mergeCell ref="H2:P2"/>
    <mergeCell ref="H7:H12"/>
    <mergeCell ref="I7:I8"/>
    <mergeCell ref="I9:I12"/>
    <mergeCell ref="C13:C15"/>
    <mergeCell ref="B2:F2"/>
    <mergeCell ref="C4:C6"/>
    <mergeCell ref="B4:B6"/>
    <mergeCell ref="C7:C9"/>
    <mergeCell ref="C10:C12"/>
    <mergeCell ref="B7:B9"/>
    <mergeCell ref="B10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I3" sqref="I3"/>
    </sheetView>
  </sheetViews>
  <sheetFormatPr baseColWidth="10" defaultColWidth="9.1796875" defaultRowHeight="14.5" x14ac:dyDescent="0.35"/>
  <cols>
    <col min="2" max="2" width="57.54296875" customWidth="1"/>
  </cols>
  <sheetData>
    <row r="2" spans="2:9" x14ac:dyDescent="0.35">
      <c r="B2" t="s">
        <v>46</v>
      </c>
      <c r="C2">
        <f xml:space="preserve"> (30+5) * 12</f>
        <v>420</v>
      </c>
    </row>
    <row r="3" spans="2:9" x14ac:dyDescent="0.35">
      <c r="B3" t="s">
        <v>47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 x14ac:dyDescent="0.35">
      <c r="B4" t="s">
        <v>48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 x14ac:dyDescent="0.35">
      <c r="H5">
        <v>3</v>
      </c>
      <c r="I5">
        <f t="shared" si="0"/>
        <v>46.777777777777779</v>
      </c>
    </row>
    <row r="6" spans="2:9" x14ac:dyDescent="0.35">
      <c r="B6" t="s">
        <v>49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 x14ac:dyDescent="0.35">
      <c r="H7">
        <v>5</v>
      </c>
      <c r="I7">
        <f t="shared" si="0"/>
        <v>28.06666666666667</v>
      </c>
    </row>
    <row r="8" spans="2:9" x14ac:dyDescent="0.35">
      <c r="B8" t="s">
        <v>50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 x14ac:dyDescent="0.35">
      <c r="H9">
        <v>7</v>
      </c>
      <c r="I9">
        <f t="shared" si="0"/>
        <v>20.047619047619047</v>
      </c>
    </row>
    <row r="10" spans="2:9" x14ac:dyDescent="0.35">
      <c r="B10" t="s">
        <v>51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 x14ac:dyDescent="0.35">
      <c r="H11">
        <v>9</v>
      </c>
      <c r="I11">
        <f t="shared" si="0"/>
        <v>15.592592592592593</v>
      </c>
    </row>
    <row r="12" spans="2:9" x14ac:dyDescent="0.35">
      <c r="H12">
        <v>10</v>
      </c>
      <c r="I12">
        <f t="shared" si="0"/>
        <v>14.033333333333335</v>
      </c>
    </row>
    <row r="13" spans="2:9" x14ac:dyDescent="0.35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 x14ac:dyDescent="0.35">
      <c r="H14">
        <v>12</v>
      </c>
      <c r="I14">
        <f t="shared" si="0"/>
        <v>11.694444444444445</v>
      </c>
    </row>
    <row r="15" spans="2:9" x14ac:dyDescent="0.35">
      <c r="H15">
        <v>13</v>
      </c>
      <c r="I15">
        <f t="shared" si="0"/>
        <v>10.794871794871796</v>
      </c>
    </row>
    <row r="16" spans="2:9" x14ac:dyDescent="0.35">
      <c r="H16">
        <v>14</v>
      </c>
      <c r="I16">
        <f t="shared" si="0"/>
        <v>10.023809523809524</v>
      </c>
    </row>
    <row r="17" spans="8:9" x14ac:dyDescent="0.35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C60D-49B6-4030-978D-AB0C021BF735}">
  <dimension ref="A1:L113"/>
  <sheetViews>
    <sheetView topLeftCell="C1" zoomScale="86" workbookViewId="0">
      <selection activeCell="B1" sqref="B1:J3"/>
    </sheetView>
  </sheetViews>
  <sheetFormatPr baseColWidth="10" defaultColWidth="11.453125" defaultRowHeight="14.5" x14ac:dyDescent="0.35"/>
  <cols>
    <col min="1" max="1" width="10.81640625" style="2"/>
    <col min="2" max="2" width="21.54296875" style="2" bestFit="1" customWidth="1"/>
    <col min="3" max="3" width="25.1796875" style="2" customWidth="1"/>
    <col min="4" max="4" width="24.1796875" style="2" customWidth="1"/>
    <col min="5" max="5" width="10.81640625" style="2" customWidth="1"/>
    <col min="6" max="6" width="22.453125" style="2" customWidth="1"/>
    <col min="7" max="7" width="19.54296875" style="2" customWidth="1"/>
    <col min="8" max="8" width="25.1796875" style="2" customWidth="1"/>
    <col min="9" max="10" width="19.54296875" style="2" customWidth="1"/>
    <col min="11" max="12" width="10.81640625" style="2"/>
  </cols>
  <sheetData>
    <row r="1" spans="2:10" s="2" customFormat="1" x14ac:dyDescent="0.35">
      <c r="B1" s="11" t="s">
        <v>52</v>
      </c>
    </row>
    <row r="2" spans="2:10" s="2" customFormat="1" x14ac:dyDescent="0.35">
      <c r="B2" s="14" t="s">
        <v>2</v>
      </c>
      <c r="C2" s="14" t="s">
        <v>3</v>
      </c>
      <c r="D2" s="14" t="s">
        <v>53</v>
      </c>
      <c r="E2" s="14" t="s">
        <v>4</v>
      </c>
      <c r="F2" s="12" t="s">
        <v>7</v>
      </c>
      <c r="G2" s="14" t="s">
        <v>5</v>
      </c>
      <c r="H2" s="14" t="s">
        <v>8</v>
      </c>
      <c r="I2" s="14" t="s">
        <v>9</v>
      </c>
      <c r="J2" s="14" t="s">
        <v>10</v>
      </c>
    </row>
    <row r="3" spans="2:10" s="2" customFormat="1" ht="29" x14ac:dyDescent="0.35">
      <c r="B3" s="14" t="s">
        <v>40</v>
      </c>
      <c r="C3" s="12" t="s">
        <v>19</v>
      </c>
      <c r="D3" s="12"/>
      <c r="E3" s="12">
        <v>6</v>
      </c>
      <c r="F3" s="17" t="s">
        <v>54</v>
      </c>
      <c r="G3" s="12" t="s">
        <v>55</v>
      </c>
      <c r="H3" s="12"/>
      <c r="I3" s="12" t="s">
        <v>56</v>
      </c>
      <c r="J3" s="12" t="s">
        <v>26</v>
      </c>
    </row>
    <row r="4" spans="2:10" s="2" customFormat="1" ht="29" x14ac:dyDescent="0.35">
      <c r="B4" s="33" t="s">
        <v>57</v>
      </c>
      <c r="C4" s="12" t="s">
        <v>19</v>
      </c>
      <c r="D4" s="40" t="s">
        <v>58</v>
      </c>
      <c r="E4" s="12">
        <v>6</v>
      </c>
      <c r="F4" s="12" t="s">
        <v>59</v>
      </c>
      <c r="G4" s="12">
        <v>1.97</v>
      </c>
      <c r="H4" s="12"/>
      <c r="I4" s="17" t="s">
        <v>60</v>
      </c>
      <c r="J4" s="17" t="s">
        <v>61</v>
      </c>
    </row>
    <row r="5" spans="2:10" s="2" customFormat="1" ht="29" x14ac:dyDescent="0.35">
      <c r="B5" s="34"/>
      <c r="C5" s="37" t="s">
        <v>62</v>
      </c>
      <c r="D5" s="41"/>
      <c r="E5" s="12">
        <v>5</v>
      </c>
      <c r="F5" s="12" t="s">
        <v>63</v>
      </c>
      <c r="G5" s="17" t="s">
        <v>64</v>
      </c>
      <c r="H5" s="12"/>
      <c r="I5" s="17" t="s">
        <v>65</v>
      </c>
      <c r="J5" s="12"/>
    </row>
    <row r="6" spans="2:10" s="2" customFormat="1" ht="29" x14ac:dyDescent="0.35">
      <c r="B6" s="35"/>
      <c r="C6" s="38"/>
      <c r="D6" s="42"/>
      <c r="E6" s="12">
        <v>6</v>
      </c>
      <c r="F6" s="12" t="s">
        <v>59</v>
      </c>
      <c r="G6" s="17" t="s">
        <v>66</v>
      </c>
      <c r="H6" s="12"/>
      <c r="I6" s="17" t="s">
        <v>67</v>
      </c>
      <c r="J6" s="17" t="s">
        <v>68</v>
      </c>
    </row>
    <row r="7" spans="2:10" s="2" customFormat="1" x14ac:dyDescent="0.35">
      <c r="B7" s="31" t="s">
        <v>69</v>
      </c>
      <c r="C7" s="36" t="s">
        <v>62</v>
      </c>
      <c r="D7" s="37" t="s">
        <v>70</v>
      </c>
      <c r="E7" s="12">
        <v>5</v>
      </c>
      <c r="F7" s="12" t="s">
        <v>63</v>
      </c>
      <c r="G7" s="12" t="s">
        <v>34</v>
      </c>
      <c r="H7" s="12"/>
      <c r="I7" s="12" t="s">
        <v>71</v>
      </c>
      <c r="J7" s="12"/>
    </row>
    <row r="8" spans="2:10" s="2" customFormat="1" x14ac:dyDescent="0.35">
      <c r="B8" s="31"/>
      <c r="C8" s="36"/>
      <c r="D8" s="38"/>
      <c r="E8" s="12" t="s">
        <v>72</v>
      </c>
      <c r="F8" s="12" t="s">
        <v>63</v>
      </c>
      <c r="G8" s="12" t="s">
        <v>73</v>
      </c>
      <c r="H8" s="12"/>
      <c r="I8" s="12" t="s">
        <v>74</v>
      </c>
      <c r="J8" s="12" t="s">
        <v>75</v>
      </c>
    </row>
    <row r="9" spans="2:10" s="2" customFormat="1" x14ac:dyDescent="0.35">
      <c r="B9" s="31"/>
      <c r="C9" s="36"/>
      <c r="D9" s="12" t="s">
        <v>76</v>
      </c>
      <c r="E9" s="12" t="s">
        <v>72</v>
      </c>
      <c r="F9" s="12" t="s">
        <v>63</v>
      </c>
      <c r="G9" s="12" t="s">
        <v>77</v>
      </c>
      <c r="H9" s="12"/>
      <c r="I9" s="12" t="s">
        <v>78</v>
      </c>
      <c r="J9" s="12" t="s">
        <v>79</v>
      </c>
    </row>
    <row r="10" spans="2:10" s="2" customFormat="1" ht="58" x14ac:dyDescent="0.35">
      <c r="B10" s="9" t="s">
        <v>80</v>
      </c>
      <c r="C10" s="17" t="s">
        <v>81</v>
      </c>
      <c r="D10" s="10" t="s">
        <v>82</v>
      </c>
      <c r="E10" s="17" t="s">
        <v>83</v>
      </c>
      <c r="F10" s="17" t="s">
        <v>84</v>
      </c>
      <c r="G10" s="12"/>
      <c r="H10" s="12"/>
      <c r="I10" s="12"/>
      <c r="J10" s="12"/>
    </row>
    <row r="11" spans="2:10" s="2" customFormat="1" ht="29" x14ac:dyDescent="0.35">
      <c r="B11" s="9" t="s">
        <v>85</v>
      </c>
      <c r="C11" s="12" t="s">
        <v>86</v>
      </c>
      <c r="D11" s="8" t="s">
        <v>70</v>
      </c>
      <c r="E11" s="12">
        <v>6</v>
      </c>
      <c r="F11" s="17" t="s">
        <v>54</v>
      </c>
      <c r="G11" s="4">
        <v>2</v>
      </c>
      <c r="H11" s="4"/>
      <c r="I11" s="4" t="s">
        <v>87</v>
      </c>
      <c r="J11" s="4" t="s">
        <v>87</v>
      </c>
    </row>
    <row r="12" spans="2:10" s="2" customFormat="1" ht="29.15" customHeight="1" x14ac:dyDescent="0.35">
      <c r="B12" s="31" t="s">
        <v>88</v>
      </c>
      <c r="C12" s="43" t="s">
        <v>89</v>
      </c>
      <c r="D12" s="36" t="s">
        <v>70</v>
      </c>
      <c r="E12" s="12">
        <v>4</v>
      </c>
      <c r="F12" s="12" t="s">
        <v>90</v>
      </c>
      <c r="G12" s="12" t="s">
        <v>91</v>
      </c>
      <c r="H12" s="4"/>
      <c r="I12" s="4"/>
      <c r="J12" s="4"/>
    </row>
    <row r="13" spans="2:10" s="2" customFormat="1" x14ac:dyDescent="0.35">
      <c r="B13" s="31"/>
      <c r="C13" s="43"/>
      <c r="D13" s="36"/>
      <c r="E13" s="12">
        <v>5</v>
      </c>
      <c r="F13" s="12" t="s">
        <v>92</v>
      </c>
      <c r="G13" s="12" t="s">
        <v>93</v>
      </c>
      <c r="H13" s="12" t="s">
        <v>94</v>
      </c>
      <c r="I13" s="4" t="s">
        <v>95</v>
      </c>
      <c r="J13" s="4"/>
    </row>
    <row r="14" spans="2:10" s="2" customFormat="1" ht="25" customHeight="1" x14ac:dyDescent="0.35">
      <c r="B14" s="9" t="s">
        <v>96</v>
      </c>
      <c r="C14" s="12" t="s">
        <v>97</v>
      </c>
      <c r="D14" s="8" t="s">
        <v>70</v>
      </c>
      <c r="E14" s="12">
        <v>5</v>
      </c>
      <c r="F14" s="12" t="s">
        <v>63</v>
      </c>
      <c r="G14" s="12" t="s">
        <v>20</v>
      </c>
      <c r="H14" s="4"/>
      <c r="I14" s="12" t="s">
        <v>98</v>
      </c>
      <c r="J14" s="4"/>
    </row>
    <row r="15" spans="2:10" s="2" customFormat="1" ht="29" x14ac:dyDescent="0.35">
      <c r="B15" s="27" t="s">
        <v>99</v>
      </c>
      <c r="C15" s="16" t="s">
        <v>100</v>
      </c>
      <c r="D15" s="28" t="s">
        <v>70</v>
      </c>
      <c r="E15" s="13">
        <v>5</v>
      </c>
      <c r="F15" s="16" t="s">
        <v>101</v>
      </c>
      <c r="G15" s="13">
        <v>1.96</v>
      </c>
      <c r="H15" s="13"/>
      <c r="I15" s="13">
        <v>1.96</v>
      </c>
      <c r="J15" s="13"/>
    </row>
    <row r="16" spans="2:10" s="2" customFormat="1" ht="29" x14ac:dyDescent="0.35">
      <c r="B16" s="23" t="s">
        <v>102</v>
      </c>
      <c r="C16" s="24" t="s">
        <v>103</v>
      </c>
      <c r="D16" s="25" t="s">
        <v>70</v>
      </c>
      <c r="E16" s="26">
        <v>6</v>
      </c>
      <c r="F16" s="24" t="s">
        <v>54</v>
      </c>
      <c r="G16" s="26" t="s">
        <v>104</v>
      </c>
      <c r="H16" s="26"/>
      <c r="I16" s="26"/>
      <c r="J16" s="26"/>
    </row>
    <row r="17" spans="2:10" s="2" customFormat="1" ht="29" x14ac:dyDescent="0.35">
      <c r="B17" s="23" t="s">
        <v>105</v>
      </c>
      <c r="C17" s="24" t="s">
        <v>19</v>
      </c>
      <c r="D17" s="25" t="s">
        <v>70</v>
      </c>
      <c r="E17" s="30">
        <v>6</v>
      </c>
      <c r="F17" s="24" t="s">
        <v>54</v>
      </c>
      <c r="G17" s="30" t="s">
        <v>106</v>
      </c>
      <c r="H17" s="30"/>
      <c r="I17" s="30" t="s">
        <v>107</v>
      </c>
      <c r="J17" s="30"/>
    </row>
    <row r="18" spans="2:10" s="2" customFormat="1" x14ac:dyDescent="0.35">
      <c r="B18" s="23" t="s">
        <v>108</v>
      </c>
      <c r="C18" s="24" t="s">
        <v>103</v>
      </c>
      <c r="D18" s="29" t="s">
        <v>70</v>
      </c>
      <c r="E18" s="26" t="s">
        <v>109</v>
      </c>
      <c r="F18" s="24" t="s">
        <v>110</v>
      </c>
      <c r="G18" s="26" t="s">
        <v>111</v>
      </c>
      <c r="H18" s="26"/>
      <c r="I18" s="26"/>
      <c r="J18" s="26"/>
    </row>
    <row r="19" spans="2:10" s="2" customFormat="1" x14ac:dyDescent="0.35"/>
    <row r="20" spans="2:10" s="2" customFormat="1" x14ac:dyDescent="0.35"/>
    <row r="21" spans="2:10" s="2" customFormat="1" x14ac:dyDescent="0.35"/>
    <row r="22" spans="2:10" s="2" customFormat="1" x14ac:dyDescent="0.25">
      <c r="B22" s="20" t="s">
        <v>112</v>
      </c>
    </row>
    <row r="23" spans="2:10" s="2" customFormat="1" x14ac:dyDescent="0.25">
      <c r="B23" s="21" t="s">
        <v>113</v>
      </c>
      <c r="I23" s="18"/>
    </row>
    <row r="24" spans="2:10" s="2" customFormat="1" x14ac:dyDescent="0.25">
      <c r="B24" s="21" t="s">
        <v>114</v>
      </c>
    </row>
    <row r="25" spans="2:10" s="2" customFormat="1" ht="43.5" x14ac:dyDescent="0.35">
      <c r="B25" s="21" t="s">
        <v>115</v>
      </c>
      <c r="C25" s="19" t="s">
        <v>116</v>
      </c>
    </row>
    <row r="26" spans="2:10" s="2" customFormat="1" ht="29" x14ac:dyDescent="0.35">
      <c r="B26" s="21" t="s">
        <v>117</v>
      </c>
      <c r="C26" s="19" t="s">
        <v>118</v>
      </c>
    </row>
    <row r="27" spans="2:10" s="2" customFormat="1" x14ac:dyDescent="0.35">
      <c r="B27" s="21" t="s">
        <v>119</v>
      </c>
      <c r="C27" s="19" t="s">
        <v>120</v>
      </c>
    </row>
    <row r="28" spans="2:10" s="2" customFormat="1" x14ac:dyDescent="0.35">
      <c r="B28" s="21" t="s">
        <v>121</v>
      </c>
      <c r="C28" s="19" t="s">
        <v>122</v>
      </c>
    </row>
    <row r="29" spans="2:10" s="2" customFormat="1" x14ac:dyDescent="0.35">
      <c r="B29" s="21" t="s">
        <v>123</v>
      </c>
      <c r="C29" s="19" t="s">
        <v>124</v>
      </c>
    </row>
    <row r="30" spans="2:10" s="2" customFormat="1" x14ac:dyDescent="0.35">
      <c r="B30" s="21" t="s">
        <v>125</v>
      </c>
      <c r="C30" s="19" t="s">
        <v>126</v>
      </c>
    </row>
    <row r="31" spans="2:10" s="2" customFormat="1" x14ac:dyDescent="0.35">
      <c r="B31" s="21" t="s">
        <v>127</v>
      </c>
      <c r="C31" s="19" t="s">
        <v>7</v>
      </c>
    </row>
    <row r="32" spans="2:10" s="2" customFormat="1" x14ac:dyDescent="0.35">
      <c r="B32" s="21" t="s">
        <v>128</v>
      </c>
      <c r="C32" s="19" t="s">
        <v>129</v>
      </c>
    </row>
    <row r="33" spans="2:3" s="2" customFormat="1" x14ac:dyDescent="0.35">
      <c r="B33" s="21" t="s">
        <v>130</v>
      </c>
      <c r="C33" s="19" t="s">
        <v>131</v>
      </c>
    </row>
    <row r="34" spans="2:3" s="2" customFormat="1" x14ac:dyDescent="0.25">
      <c r="B34" s="21" t="s">
        <v>132</v>
      </c>
    </row>
    <row r="35" spans="2:3" s="2" customFormat="1" x14ac:dyDescent="0.25">
      <c r="B35" s="21" t="s">
        <v>133</v>
      </c>
    </row>
    <row r="36" spans="2:3" s="2" customFormat="1" x14ac:dyDescent="0.25">
      <c r="B36" s="21" t="s">
        <v>134</v>
      </c>
    </row>
    <row r="37" spans="2:3" s="2" customFormat="1" x14ac:dyDescent="0.25">
      <c r="B37" s="21" t="s">
        <v>135</v>
      </c>
    </row>
    <row r="38" spans="2:3" s="2" customFormat="1" x14ac:dyDescent="0.25">
      <c r="B38" s="21" t="s">
        <v>136</v>
      </c>
    </row>
    <row r="39" spans="2:3" s="2" customFormat="1" x14ac:dyDescent="0.25">
      <c r="B39" s="21" t="s">
        <v>137</v>
      </c>
    </row>
    <row r="40" spans="2:3" s="2" customFormat="1" x14ac:dyDescent="0.25">
      <c r="B40" s="21" t="s">
        <v>138</v>
      </c>
    </row>
    <row r="41" spans="2:3" s="2" customFormat="1" x14ac:dyDescent="0.25">
      <c r="B41" s="21" t="s">
        <v>139</v>
      </c>
    </row>
    <row r="42" spans="2:3" s="2" customFormat="1" x14ac:dyDescent="0.25">
      <c r="B42" s="21" t="s">
        <v>140</v>
      </c>
    </row>
    <row r="43" spans="2:3" s="2" customFormat="1" x14ac:dyDescent="0.25">
      <c r="B43" s="21" t="s">
        <v>141</v>
      </c>
    </row>
    <row r="44" spans="2:3" s="2" customFormat="1" x14ac:dyDescent="0.25">
      <c r="B44" s="21" t="s">
        <v>142</v>
      </c>
    </row>
    <row r="45" spans="2:3" s="2" customFormat="1" x14ac:dyDescent="0.25">
      <c r="B45" s="21" t="s">
        <v>143</v>
      </c>
    </row>
    <row r="46" spans="2:3" s="2" customFormat="1" x14ac:dyDescent="0.25">
      <c r="B46" s="21" t="s">
        <v>144</v>
      </c>
    </row>
    <row r="47" spans="2:3" s="2" customFormat="1" x14ac:dyDescent="0.25">
      <c r="B47" s="21" t="s">
        <v>145</v>
      </c>
    </row>
    <row r="48" spans="2:3" s="2" customFormat="1" x14ac:dyDescent="0.25">
      <c r="B48" s="21" t="s">
        <v>146</v>
      </c>
    </row>
    <row r="49" spans="2:2" s="2" customFormat="1" x14ac:dyDescent="0.25">
      <c r="B49" s="21" t="s">
        <v>147</v>
      </c>
    </row>
    <row r="50" spans="2:2" s="2" customFormat="1" x14ac:dyDescent="0.25">
      <c r="B50" s="22" t="s">
        <v>148</v>
      </c>
    </row>
    <row r="51" spans="2:2" s="2" customFormat="1" x14ac:dyDescent="0.35"/>
    <row r="52" spans="2:2" s="2" customFormat="1" x14ac:dyDescent="0.35"/>
    <row r="53" spans="2:2" s="2" customFormat="1" x14ac:dyDescent="0.35"/>
    <row r="54" spans="2:2" s="2" customFormat="1" x14ac:dyDescent="0.35"/>
    <row r="55" spans="2:2" s="2" customFormat="1" x14ac:dyDescent="0.35"/>
    <row r="56" spans="2:2" s="2" customFormat="1" x14ac:dyDescent="0.35"/>
    <row r="57" spans="2:2" s="2" customFormat="1" x14ac:dyDescent="0.35"/>
    <row r="58" spans="2:2" s="2" customFormat="1" x14ac:dyDescent="0.35"/>
    <row r="59" spans="2:2" s="2" customFormat="1" x14ac:dyDescent="0.35"/>
    <row r="60" spans="2:2" s="2" customFormat="1" x14ac:dyDescent="0.35"/>
    <row r="61" spans="2:2" s="2" customFormat="1" x14ac:dyDescent="0.35"/>
    <row r="62" spans="2:2" s="2" customFormat="1" x14ac:dyDescent="0.35"/>
    <row r="63" spans="2:2" s="2" customFormat="1" x14ac:dyDescent="0.35"/>
    <row r="64" spans="2:2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</sheetData>
  <mergeCells count="9">
    <mergeCell ref="D4:D6"/>
    <mergeCell ref="D7:D8"/>
    <mergeCell ref="B12:B13"/>
    <mergeCell ref="C12:C13"/>
    <mergeCell ref="D12:D13"/>
    <mergeCell ref="B7:B9"/>
    <mergeCell ref="C7:C9"/>
    <mergeCell ref="C5:C6"/>
    <mergeCell ref="B4:B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F3EC0-8318-4E43-BDE2-AEB789E559A3}">
  <dimension ref="B2:J31"/>
  <sheetViews>
    <sheetView tabSelected="1" zoomScale="134" workbookViewId="0">
      <selection activeCell="G7" sqref="G7"/>
    </sheetView>
  </sheetViews>
  <sheetFormatPr baseColWidth="10" defaultRowHeight="14.5" x14ac:dyDescent="0.35"/>
  <cols>
    <col min="2" max="2" width="22.81640625" customWidth="1"/>
    <col min="6" max="6" width="38.90625" customWidth="1"/>
  </cols>
  <sheetData>
    <row r="2" spans="2:10" x14ac:dyDescent="0.35">
      <c r="B2" s="11" t="s">
        <v>52</v>
      </c>
      <c r="C2" s="2"/>
      <c r="D2" s="2"/>
      <c r="E2" s="2"/>
      <c r="F2" s="2"/>
      <c r="G2" s="2"/>
      <c r="H2" s="2"/>
      <c r="I2" s="2"/>
      <c r="J2" s="2"/>
    </row>
    <row r="3" spans="2:10" ht="37.5" x14ac:dyDescent="0.35">
      <c r="B3" s="14" t="s">
        <v>2</v>
      </c>
      <c r="C3" s="14" t="s">
        <v>3</v>
      </c>
      <c r="D3" s="14" t="s">
        <v>53</v>
      </c>
      <c r="E3" s="14" t="s">
        <v>4</v>
      </c>
      <c r="F3" s="12" t="s">
        <v>7</v>
      </c>
      <c r="G3" s="14" t="s">
        <v>5</v>
      </c>
      <c r="H3" s="14" t="s">
        <v>8</v>
      </c>
      <c r="I3" s="14" t="s">
        <v>9</v>
      </c>
      <c r="J3" s="14" t="s">
        <v>10</v>
      </c>
    </row>
    <row r="4" spans="2:10" ht="43.5" x14ac:dyDescent="0.35">
      <c r="B4" s="14" t="s">
        <v>149</v>
      </c>
      <c r="C4" s="17" t="s">
        <v>165</v>
      </c>
      <c r="D4" s="12" t="s">
        <v>164</v>
      </c>
      <c r="E4" s="12">
        <v>4</v>
      </c>
      <c r="F4" s="17" t="s">
        <v>166</v>
      </c>
      <c r="G4" s="12"/>
      <c r="H4" s="12"/>
      <c r="I4" s="12"/>
      <c r="J4" s="12"/>
    </row>
    <row r="5" spans="2:10" x14ac:dyDescent="0.35">
      <c r="E5">
        <v>5</v>
      </c>
      <c r="F5" t="s">
        <v>167</v>
      </c>
    </row>
    <row r="6" spans="2:10" x14ac:dyDescent="0.35">
      <c r="E6">
        <v>6</v>
      </c>
      <c r="F6" t="s">
        <v>168</v>
      </c>
    </row>
    <row r="17" spans="2:2" x14ac:dyDescent="0.35">
      <c r="B17" s="14" t="s">
        <v>150</v>
      </c>
    </row>
    <row r="18" spans="2:2" x14ac:dyDescent="0.35">
      <c r="B18" s="14" t="s">
        <v>151</v>
      </c>
    </row>
    <row r="19" spans="2:2" x14ac:dyDescent="0.35">
      <c r="B19" s="14" t="s">
        <v>152</v>
      </c>
    </row>
    <row r="20" spans="2:2" x14ac:dyDescent="0.35">
      <c r="B20" s="14" t="s">
        <v>153</v>
      </c>
    </row>
    <row r="21" spans="2:2" x14ac:dyDescent="0.35">
      <c r="B21" s="14" t="s">
        <v>155</v>
      </c>
    </row>
    <row r="22" spans="2:2" x14ac:dyDescent="0.35">
      <c r="B22" s="14" t="s">
        <v>154</v>
      </c>
    </row>
    <row r="23" spans="2:2" x14ac:dyDescent="0.35">
      <c r="B23" s="14" t="s">
        <v>156</v>
      </c>
    </row>
    <row r="24" spans="2:2" x14ac:dyDescent="0.35">
      <c r="B24" s="14" t="s">
        <v>157</v>
      </c>
    </row>
    <row r="25" spans="2:2" x14ac:dyDescent="0.35">
      <c r="B25" s="14" t="s">
        <v>158</v>
      </c>
    </row>
    <row r="26" spans="2:2" x14ac:dyDescent="0.35">
      <c r="B26" s="14" t="s">
        <v>159</v>
      </c>
    </row>
    <row r="27" spans="2:2" x14ac:dyDescent="0.35">
      <c r="B27" s="14" t="s">
        <v>160</v>
      </c>
    </row>
    <row r="28" spans="2:2" x14ac:dyDescent="0.35">
      <c r="B28" s="14" t="s">
        <v>161</v>
      </c>
    </row>
    <row r="29" spans="2:2" x14ac:dyDescent="0.35">
      <c r="B29" s="14" t="s">
        <v>162</v>
      </c>
    </row>
    <row r="30" spans="2:2" x14ac:dyDescent="0.35">
      <c r="B30" s="14" t="s">
        <v>163</v>
      </c>
    </row>
    <row r="31" spans="2:2" x14ac:dyDescent="0.35">
      <c r="B31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30916-E5E4-44C7-BA23-8574CD658250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E2C5B2-6C51-45C3-BB85-60B6D65DC0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Hoja4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2025-10-11T00:50:59Z</dcterms:modified>
  <cp:category/>
  <cp:contentStatus/>
</cp:coreProperties>
</file>